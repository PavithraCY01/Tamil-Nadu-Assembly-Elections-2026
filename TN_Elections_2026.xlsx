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VITHRA\Documents\TamilNaduElections2026\Filtered Data\"/>
    </mc:Choice>
  </mc:AlternateContent>
  <xr:revisionPtr revIDLastSave="0" documentId="8_{64E34A55-9DE6-410A-A7B5-86E6BB5B3DC8}" xr6:coauthVersionLast="47" xr6:coauthVersionMax="47" xr10:uidLastSave="{00000000-0000-0000-0000-000000000000}"/>
  <bookViews>
    <workbookView xWindow="-108" yWindow="-108" windowWidth="23256" windowHeight="12456" xr2:uid="{21BF7991-DC9A-45D1-97F9-BCF2D8E43282}"/>
  </bookViews>
  <sheets>
    <sheet name="winners 21 &amp; 26" sheetId="2" r:id="rId1"/>
    <sheet name="Master_Seat_Comparison" sheetId="14" r:id="rId2"/>
  </sheets>
  <definedNames>
    <definedName name="ExternalData_2" localSheetId="0" hidden="1">'winners 21 &amp; 26'!$A$1:$U$235</definedName>
    <definedName name="ExternalData_3" localSheetId="1" hidden="1">Master_Seat_Comparison!$A$1:$F$40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" i="2" l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W229" i="2"/>
  <c r="W226" i="2"/>
  <c r="W225" i="2"/>
  <c r="W217" i="2"/>
  <c r="W214" i="2"/>
  <c r="W213" i="2"/>
  <c r="W205" i="2"/>
  <c r="W202" i="2"/>
  <c r="W201" i="2"/>
  <c r="W193" i="2"/>
  <c r="W190" i="2"/>
  <c r="W189" i="2"/>
  <c r="W181" i="2"/>
  <c r="W178" i="2"/>
  <c r="W177" i="2"/>
  <c r="W169" i="2"/>
  <c r="W166" i="2"/>
  <c r="W165" i="2"/>
  <c r="W157" i="2"/>
  <c r="W154" i="2"/>
  <c r="W153" i="2"/>
  <c r="W145" i="2"/>
  <c r="W142" i="2"/>
  <c r="W141" i="2"/>
  <c r="W133" i="2"/>
  <c r="W130" i="2"/>
  <c r="W129" i="2"/>
  <c r="W121" i="2"/>
  <c r="W118" i="2"/>
  <c r="W117" i="2"/>
  <c r="W109" i="2"/>
  <c r="W106" i="2"/>
  <c r="W105" i="2"/>
  <c r="W97" i="2"/>
  <c r="W94" i="2"/>
  <c r="W93" i="2"/>
  <c r="W85" i="2"/>
  <c r="W82" i="2"/>
  <c r="W81" i="2"/>
  <c r="W73" i="2"/>
  <c r="W70" i="2"/>
  <c r="W69" i="2"/>
  <c r="W61" i="2"/>
  <c r="W58" i="2"/>
  <c r="W57" i="2"/>
  <c r="W49" i="2"/>
  <c r="W47" i="2"/>
  <c r="W46" i="2"/>
  <c r="W45" i="2"/>
  <c r="W37" i="2"/>
  <c r="W35" i="2"/>
  <c r="W34" i="2"/>
  <c r="W33" i="2"/>
  <c r="W25" i="2"/>
  <c r="W23" i="2"/>
  <c r="W22" i="2"/>
  <c r="W21" i="2"/>
  <c r="W13" i="2"/>
  <c r="W11" i="2"/>
  <c r="W10" i="2"/>
  <c r="W9" i="2"/>
  <c r="V2" i="2"/>
  <c r="V3" i="2"/>
  <c r="V5" i="2"/>
  <c r="V6" i="2"/>
  <c r="V7" i="2"/>
  <c r="V14" i="2"/>
  <c r="V15" i="2"/>
  <c r="V17" i="2"/>
  <c r="V18" i="2"/>
  <c r="V19" i="2"/>
  <c r="V26" i="2"/>
  <c r="V27" i="2"/>
  <c r="V29" i="2"/>
  <c r="V30" i="2"/>
  <c r="V31" i="2"/>
  <c r="V38" i="2"/>
  <c r="V39" i="2"/>
  <c r="V41" i="2"/>
  <c r="V42" i="2"/>
  <c r="V43" i="2"/>
  <c r="V50" i="2"/>
  <c r="V51" i="2"/>
  <c r="V53" i="2"/>
  <c r="V54" i="2"/>
  <c r="V55" i="2"/>
  <c r="V62" i="2"/>
  <c r="V63" i="2"/>
  <c r="V65" i="2"/>
  <c r="V66" i="2"/>
  <c r="V67" i="2"/>
  <c r="V74" i="2"/>
  <c r="V75" i="2"/>
  <c r="V77" i="2"/>
  <c r="V78" i="2"/>
  <c r="V79" i="2"/>
  <c r="V86" i="2"/>
  <c r="V87" i="2"/>
  <c r="V89" i="2"/>
  <c r="V90" i="2"/>
  <c r="V91" i="2"/>
  <c r="V98" i="2"/>
  <c r="V99" i="2"/>
  <c r="V101" i="2"/>
  <c r="V102" i="2"/>
  <c r="V103" i="2"/>
  <c r="V110" i="2"/>
  <c r="V111" i="2"/>
  <c r="V113" i="2"/>
  <c r="V114" i="2"/>
  <c r="V115" i="2"/>
  <c r="V122" i="2"/>
  <c r="V123" i="2"/>
  <c r="V125" i="2"/>
  <c r="V126" i="2"/>
  <c r="V127" i="2"/>
  <c r="V134" i="2"/>
  <c r="V135" i="2"/>
  <c r="V137" i="2"/>
  <c r="V138" i="2"/>
  <c r="V139" i="2"/>
  <c r="V146" i="2"/>
  <c r="V147" i="2"/>
  <c r="V149" i="2"/>
  <c r="V150" i="2"/>
  <c r="V151" i="2"/>
  <c r="V158" i="2"/>
  <c r="V159" i="2"/>
  <c r="V161" i="2"/>
  <c r="V162" i="2"/>
  <c r="V163" i="2"/>
  <c r="V170" i="2"/>
  <c r="V171" i="2"/>
  <c r="V173" i="2"/>
  <c r="V174" i="2"/>
  <c r="V175" i="2"/>
  <c r="V182" i="2"/>
  <c r="V183" i="2"/>
  <c r="V185" i="2"/>
  <c r="V186" i="2"/>
  <c r="V187" i="2"/>
  <c r="V194" i="2"/>
  <c r="V195" i="2"/>
  <c r="V197" i="2"/>
  <c r="V198" i="2"/>
  <c r="V199" i="2"/>
  <c r="V206" i="2"/>
  <c r="V207" i="2"/>
  <c r="V209" i="2"/>
  <c r="V210" i="2"/>
  <c r="V211" i="2"/>
  <c r="V218" i="2"/>
  <c r="V219" i="2"/>
  <c r="V221" i="2"/>
  <c r="V222" i="2"/>
  <c r="V223" i="2"/>
  <c r="V230" i="2"/>
  <c r="V231" i="2"/>
  <c r="V233" i="2"/>
  <c r="V234" i="2"/>
  <c r="V235" i="2"/>
  <c r="R2" i="2"/>
  <c r="R3" i="2"/>
  <c r="R4" i="2"/>
  <c r="V4" i="2" s="1"/>
  <c r="R5" i="2"/>
  <c r="R6" i="2"/>
  <c r="R7" i="2"/>
  <c r="R8" i="2"/>
  <c r="V8" i="2" s="1"/>
  <c r="R9" i="2"/>
  <c r="V9" i="2" s="1"/>
  <c r="R10" i="2"/>
  <c r="V10" i="2" s="1"/>
  <c r="R11" i="2"/>
  <c r="V11" i="2" s="1"/>
  <c r="R12" i="2"/>
  <c r="V12" i="2" s="1"/>
  <c r="R13" i="2"/>
  <c r="V13" i="2" s="1"/>
  <c r="R14" i="2"/>
  <c r="R15" i="2"/>
  <c r="R16" i="2"/>
  <c r="V16" i="2" s="1"/>
  <c r="R17" i="2"/>
  <c r="R18" i="2"/>
  <c r="R19" i="2"/>
  <c r="R20" i="2"/>
  <c r="V20" i="2" s="1"/>
  <c r="R21" i="2"/>
  <c r="V21" i="2" s="1"/>
  <c r="R22" i="2"/>
  <c r="V22" i="2" s="1"/>
  <c r="R23" i="2"/>
  <c r="V23" i="2" s="1"/>
  <c r="R24" i="2"/>
  <c r="V24" i="2" s="1"/>
  <c r="R25" i="2"/>
  <c r="V25" i="2" s="1"/>
  <c r="R26" i="2"/>
  <c r="R27" i="2"/>
  <c r="R28" i="2"/>
  <c r="V28" i="2" s="1"/>
  <c r="R29" i="2"/>
  <c r="R30" i="2"/>
  <c r="R31" i="2"/>
  <c r="R32" i="2"/>
  <c r="V32" i="2" s="1"/>
  <c r="R33" i="2"/>
  <c r="V33" i="2" s="1"/>
  <c r="R34" i="2"/>
  <c r="V34" i="2" s="1"/>
  <c r="R35" i="2"/>
  <c r="V35" i="2" s="1"/>
  <c r="R36" i="2"/>
  <c r="V36" i="2" s="1"/>
  <c r="R37" i="2"/>
  <c r="V37" i="2" s="1"/>
  <c r="R38" i="2"/>
  <c r="R39" i="2"/>
  <c r="R40" i="2"/>
  <c r="V40" i="2" s="1"/>
  <c r="R41" i="2"/>
  <c r="R42" i="2"/>
  <c r="R43" i="2"/>
  <c r="R44" i="2"/>
  <c r="V44" i="2" s="1"/>
  <c r="R45" i="2"/>
  <c r="V45" i="2" s="1"/>
  <c r="R46" i="2"/>
  <c r="V46" i="2" s="1"/>
  <c r="R47" i="2"/>
  <c r="V47" i="2" s="1"/>
  <c r="R48" i="2"/>
  <c r="V48" i="2" s="1"/>
  <c r="R49" i="2"/>
  <c r="V49" i="2" s="1"/>
  <c r="R50" i="2"/>
  <c r="R51" i="2"/>
  <c r="R52" i="2"/>
  <c r="V52" i="2" s="1"/>
  <c r="R53" i="2"/>
  <c r="R54" i="2"/>
  <c r="R55" i="2"/>
  <c r="R56" i="2"/>
  <c r="V56" i="2" s="1"/>
  <c r="R57" i="2"/>
  <c r="V57" i="2" s="1"/>
  <c r="R58" i="2"/>
  <c r="V58" i="2" s="1"/>
  <c r="R59" i="2"/>
  <c r="V59" i="2" s="1"/>
  <c r="R60" i="2"/>
  <c r="V60" i="2" s="1"/>
  <c r="R61" i="2"/>
  <c r="V61" i="2" s="1"/>
  <c r="R62" i="2"/>
  <c r="R63" i="2"/>
  <c r="R64" i="2"/>
  <c r="V64" i="2" s="1"/>
  <c r="R65" i="2"/>
  <c r="R66" i="2"/>
  <c r="R67" i="2"/>
  <c r="R68" i="2"/>
  <c r="V68" i="2" s="1"/>
  <c r="R69" i="2"/>
  <c r="V69" i="2" s="1"/>
  <c r="R70" i="2"/>
  <c r="V70" i="2" s="1"/>
  <c r="R71" i="2"/>
  <c r="V71" i="2" s="1"/>
  <c r="R72" i="2"/>
  <c r="V72" i="2" s="1"/>
  <c r="R73" i="2"/>
  <c r="V73" i="2" s="1"/>
  <c r="R74" i="2"/>
  <c r="R75" i="2"/>
  <c r="R76" i="2"/>
  <c r="V76" i="2" s="1"/>
  <c r="R77" i="2"/>
  <c r="R78" i="2"/>
  <c r="R79" i="2"/>
  <c r="R80" i="2"/>
  <c r="V80" i="2" s="1"/>
  <c r="R81" i="2"/>
  <c r="V81" i="2" s="1"/>
  <c r="R82" i="2"/>
  <c r="V82" i="2" s="1"/>
  <c r="R83" i="2"/>
  <c r="V83" i="2" s="1"/>
  <c r="R84" i="2"/>
  <c r="V84" i="2" s="1"/>
  <c r="R85" i="2"/>
  <c r="V85" i="2" s="1"/>
  <c r="R86" i="2"/>
  <c r="R87" i="2"/>
  <c r="R88" i="2"/>
  <c r="V88" i="2" s="1"/>
  <c r="R89" i="2"/>
  <c r="R90" i="2"/>
  <c r="R91" i="2"/>
  <c r="R92" i="2"/>
  <c r="V92" i="2" s="1"/>
  <c r="R93" i="2"/>
  <c r="V93" i="2" s="1"/>
  <c r="R94" i="2"/>
  <c r="V94" i="2" s="1"/>
  <c r="R95" i="2"/>
  <c r="V95" i="2" s="1"/>
  <c r="R96" i="2"/>
  <c r="V96" i="2" s="1"/>
  <c r="R97" i="2"/>
  <c r="V97" i="2" s="1"/>
  <c r="R98" i="2"/>
  <c r="R99" i="2"/>
  <c r="R100" i="2"/>
  <c r="V100" i="2" s="1"/>
  <c r="R101" i="2"/>
  <c r="R102" i="2"/>
  <c r="R103" i="2"/>
  <c r="R104" i="2"/>
  <c r="V104" i="2" s="1"/>
  <c r="R105" i="2"/>
  <c r="V105" i="2" s="1"/>
  <c r="R106" i="2"/>
  <c r="V106" i="2" s="1"/>
  <c r="R107" i="2"/>
  <c r="V107" i="2" s="1"/>
  <c r="R108" i="2"/>
  <c r="V108" i="2" s="1"/>
  <c r="R109" i="2"/>
  <c r="V109" i="2" s="1"/>
  <c r="R110" i="2"/>
  <c r="R111" i="2"/>
  <c r="R112" i="2"/>
  <c r="V112" i="2" s="1"/>
  <c r="R113" i="2"/>
  <c r="R114" i="2"/>
  <c r="R115" i="2"/>
  <c r="R116" i="2"/>
  <c r="V116" i="2" s="1"/>
  <c r="R117" i="2"/>
  <c r="V117" i="2" s="1"/>
  <c r="R118" i="2"/>
  <c r="V118" i="2" s="1"/>
  <c r="R119" i="2"/>
  <c r="V119" i="2" s="1"/>
  <c r="R120" i="2"/>
  <c r="V120" i="2" s="1"/>
  <c r="R121" i="2"/>
  <c r="V121" i="2" s="1"/>
  <c r="R122" i="2"/>
  <c r="R123" i="2"/>
  <c r="R124" i="2"/>
  <c r="V124" i="2" s="1"/>
  <c r="R125" i="2"/>
  <c r="R126" i="2"/>
  <c r="R127" i="2"/>
  <c r="R128" i="2"/>
  <c r="V128" i="2" s="1"/>
  <c r="R129" i="2"/>
  <c r="V129" i="2" s="1"/>
  <c r="R130" i="2"/>
  <c r="V130" i="2" s="1"/>
  <c r="R131" i="2"/>
  <c r="V131" i="2" s="1"/>
  <c r="R132" i="2"/>
  <c r="V132" i="2" s="1"/>
  <c r="R133" i="2"/>
  <c r="V133" i="2" s="1"/>
  <c r="R134" i="2"/>
  <c r="R135" i="2"/>
  <c r="R136" i="2"/>
  <c r="V136" i="2" s="1"/>
  <c r="R137" i="2"/>
  <c r="R138" i="2"/>
  <c r="R139" i="2"/>
  <c r="R140" i="2"/>
  <c r="V140" i="2" s="1"/>
  <c r="R141" i="2"/>
  <c r="V141" i="2" s="1"/>
  <c r="R142" i="2"/>
  <c r="V142" i="2" s="1"/>
  <c r="R143" i="2"/>
  <c r="V143" i="2" s="1"/>
  <c r="R144" i="2"/>
  <c r="V144" i="2" s="1"/>
  <c r="R145" i="2"/>
  <c r="V145" i="2" s="1"/>
  <c r="R146" i="2"/>
  <c r="R147" i="2"/>
  <c r="R148" i="2"/>
  <c r="V148" i="2" s="1"/>
  <c r="R149" i="2"/>
  <c r="R150" i="2"/>
  <c r="R151" i="2"/>
  <c r="R152" i="2"/>
  <c r="V152" i="2" s="1"/>
  <c r="R153" i="2"/>
  <c r="V153" i="2" s="1"/>
  <c r="R154" i="2"/>
  <c r="V154" i="2" s="1"/>
  <c r="R155" i="2"/>
  <c r="V155" i="2" s="1"/>
  <c r="R156" i="2"/>
  <c r="V156" i="2" s="1"/>
  <c r="R157" i="2"/>
  <c r="V157" i="2" s="1"/>
  <c r="R158" i="2"/>
  <c r="R159" i="2"/>
  <c r="R160" i="2"/>
  <c r="V160" i="2" s="1"/>
  <c r="R161" i="2"/>
  <c r="R162" i="2"/>
  <c r="R163" i="2"/>
  <c r="R164" i="2"/>
  <c r="V164" i="2" s="1"/>
  <c r="R165" i="2"/>
  <c r="V165" i="2" s="1"/>
  <c r="R166" i="2"/>
  <c r="V166" i="2" s="1"/>
  <c r="R167" i="2"/>
  <c r="V167" i="2" s="1"/>
  <c r="R168" i="2"/>
  <c r="V168" i="2" s="1"/>
  <c r="R169" i="2"/>
  <c r="V169" i="2" s="1"/>
  <c r="R170" i="2"/>
  <c r="R171" i="2"/>
  <c r="R172" i="2"/>
  <c r="V172" i="2" s="1"/>
  <c r="R173" i="2"/>
  <c r="R174" i="2"/>
  <c r="R175" i="2"/>
  <c r="R176" i="2"/>
  <c r="V176" i="2" s="1"/>
  <c r="R177" i="2"/>
  <c r="V177" i="2" s="1"/>
  <c r="R178" i="2"/>
  <c r="V178" i="2" s="1"/>
  <c r="R179" i="2"/>
  <c r="V179" i="2" s="1"/>
  <c r="R180" i="2"/>
  <c r="V180" i="2" s="1"/>
  <c r="R181" i="2"/>
  <c r="V181" i="2" s="1"/>
  <c r="R182" i="2"/>
  <c r="R183" i="2"/>
  <c r="R184" i="2"/>
  <c r="V184" i="2" s="1"/>
  <c r="R185" i="2"/>
  <c r="R186" i="2"/>
  <c r="R187" i="2"/>
  <c r="R188" i="2"/>
  <c r="V188" i="2" s="1"/>
  <c r="R189" i="2"/>
  <c r="V189" i="2" s="1"/>
  <c r="R190" i="2"/>
  <c r="V190" i="2" s="1"/>
  <c r="R191" i="2"/>
  <c r="V191" i="2" s="1"/>
  <c r="R192" i="2"/>
  <c r="V192" i="2" s="1"/>
  <c r="R193" i="2"/>
  <c r="V193" i="2" s="1"/>
  <c r="R194" i="2"/>
  <c r="R195" i="2"/>
  <c r="R196" i="2"/>
  <c r="V196" i="2" s="1"/>
  <c r="R197" i="2"/>
  <c r="R198" i="2"/>
  <c r="R199" i="2"/>
  <c r="R200" i="2"/>
  <c r="V200" i="2" s="1"/>
  <c r="R201" i="2"/>
  <c r="V201" i="2" s="1"/>
  <c r="R202" i="2"/>
  <c r="V202" i="2" s="1"/>
  <c r="R203" i="2"/>
  <c r="V203" i="2" s="1"/>
  <c r="R204" i="2"/>
  <c r="V204" i="2" s="1"/>
  <c r="R205" i="2"/>
  <c r="V205" i="2" s="1"/>
  <c r="R206" i="2"/>
  <c r="R207" i="2"/>
  <c r="R208" i="2"/>
  <c r="V208" i="2" s="1"/>
  <c r="R209" i="2"/>
  <c r="R210" i="2"/>
  <c r="R211" i="2"/>
  <c r="R212" i="2"/>
  <c r="V212" i="2" s="1"/>
  <c r="R213" i="2"/>
  <c r="V213" i="2" s="1"/>
  <c r="R214" i="2"/>
  <c r="V214" i="2" s="1"/>
  <c r="R215" i="2"/>
  <c r="V215" i="2" s="1"/>
  <c r="R216" i="2"/>
  <c r="V216" i="2" s="1"/>
  <c r="R217" i="2"/>
  <c r="V217" i="2" s="1"/>
  <c r="R218" i="2"/>
  <c r="R219" i="2"/>
  <c r="R220" i="2"/>
  <c r="V220" i="2" s="1"/>
  <c r="R221" i="2"/>
  <c r="R222" i="2"/>
  <c r="R223" i="2"/>
  <c r="R224" i="2"/>
  <c r="V224" i="2" s="1"/>
  <c r="R225" i="2"/>
  <c r="V225" i="2" s="1"/>
  <c r="R226" i="2"/>
  <c r="V226" i="2" s="1"/>
  <c r="R227" i="2"/>
  <c r="V227" i="2" s="1"/>
  <c r="R228" i="2"/>
  <c r="V228" i="2" s="1"/>
  <c r="R229" i="2"/>
  <c r="V229" i="2" s="1"/>
  <c r="R230" i="2"/>
  <c r="R231" i="2"/>
  <c r="R232" i="2"/>
  <c r="V232" i="2" s="1"/>
  <c r="R233" i="2"/>
  <c r="R234" i="2"/>
  <c r="R235" i="2"/>
  <c r="S2" i="2"/>
  <c r="W2" i="2" s="1"/>
  <c r="S3" i="2"/>
  <c r="W3" i="2" s="1"/>
  <c r="S4" i="2"/>
  <c r="W4" i="2" s="1"/>
  <c r="S5" i="2"/>
  <c r="W5" i="2" s="1"/>
  <c r="S6" i="2"/>
  <c r="W6" i="2" s="1"/>
  <c r="S7" i="2"/>
  <c r="W7" i="2" s="1"/>
  <c r="S8" i="2"/>
  <c r="W8" i="2" s="1"/>
  <c r="S9" i="2"/>
  <c r="S10" i="2"/>
  <c r="S11" i="2"/>
  <c r="S12" i="2"/>
  <c r="W12" i="2" s="1"/>
  <c r="S13" i="2"/>
  <c r="S14" i="2"/>
  <c r="W14" i="2" s="1"/>
  <c r="S15" i="2"/>
  <c r="W15" i="2" s="1"/>
  <c r="S16" i="2"/>
  <c r="W16" i="2" s="1"/>
  <c r="S17" i="2"/>
  <c r="W17" i="2" s="1"/>
  <c r="S18" i="2"/>
  <c r="W18" i="2" s="1"/>
  <c r="S19" i="2"/>
  <c r="W19" i="2" s="1"/>
  <c r="S20" i="2"/>
  <c r="W20" i="2" s="1"/>
  <c r="S21" i="2"/>
  <c r="S22" i="2"/>
  <c r="S23" i="2"/>
  <c r="S24" i="2"/>
  <c r="W24" i="2" s="1"/>
  <c r="S25" i="2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S34" i="2"/>
  <c r="S35" i="2"/>
  <c r="S36" i="2"/>
  <c r="W36" i="2" s="1"/>
  <c r="S37" i="2"/>
  <c r="S38" i="2"/>
  <c r="W38" i="2" s="1"/>
  <c r="S39" i="2"/>
  <c r="W39" i="2" s="1"/>
  <c r="S40" i="2"/>
  <c r="W40" i="2" s="1"/>
  <c r="S41" i="2"/>
  <c r="W41" i="2" s="1"/>
  <c r="S42" i="2"/>
  <c r="W42" i="2" s="1"/>
  <c r="S43" i="2"/>
  <c r="W43" i="2" s="1"/>
  <c r="S44" i="2"/>
  <c r="W44" i="2" s="1"/>
  <c r="S45" i="2"/>
  <c r="S46" i="2"/>
  <c r="S47" i="2"/>
  <c r="S48" i="2"/>
  <c r="W48" i="2" s="1"/>
  <c r="S49" i="2"/>
  <c r="S50" i="2"/>
  <c r="W50" i="2" s="1"/>
  <c r="S51" i="2"/>
  <c r="W51" i="2" s="1"/>
  <c r="S52" i="2"/>
  <c r="W52" i="2" s="1"/>
  <c r="S53" i="2"/>
  <c r="W53" i="2" s="1"/>
  <c r="S54" i="2"/>
  <c r="W54" i="2" s="1"/>
  <c r="S55" i="2"/>
  <c r="W55" i="2" s="1"/>
  <c r="S56" i="2"/>
  <c r="W56" i="2" s="1"/>
  <c r="S57" i="2"/>
  <c r="S58" i="2"/>
  <c r="S59" i="2"/>
  <c r="W59" i="2" s="1"/>
  <c r="S60" i="2"/>
  <c r="W60" i="2" s="1"/>
  <c r="S61" i="2"/>
  <c r="S62" i="2"/>
  <c r="W62" i="2" s="1"/>
  <c r="S63" i="2"/>
  <c r="W63" i="2" s="1"/>
  <c r="S64" i="2"/>
  <c r="W64" i="2" s="1"/>
  <c r="S65" i="2"/>
  <c r="W65" i="2" s="1"/>
  <c r="S66" i="2"/>
  <c r="W66" i="2" s="1"/>
  <c r="S67" i="2"/>
  <c r="W67" i="2" s="1"/>
  <c r="S68" i="2"/>
  <c r="W68" i="2" s="1"/>
  <c r="S69" i="2"/>
  <c r="S70" i="2"/>
  <c r="S71" i="2"/>
  <c r="W71" i="2" s="1"/>
  <c r="S72" i="2"/>
  <c r="W72" i="2" s="1"/>
  <c r="S73" i="2"/>
  <c r="S74" i="2"/>
  <c r="W74" i="2" s="1"/>
  <c r="S75" i="2"/>
  <c r="W75" i="2" s="1"/>
  <c r="S76" i="2"/>
  <c r="W76" i="2" s="1"/>
  <c r="S77" i="2"/>
  <c r="W77" i="2" s="1"/>
  <c r="S78" i="2"/>
  <c r="W78" i="2" s="1"/>
  <c r="S79" i="2"/>
  <c r="W79" i="2" s="1"/>
  <c r="S80" i="2"/>
  <c r="W80" i="2" s="1"/>
  <c r="S81" i="2"/>
  <c r="S82" i="2"/>
  <c r="S83" i="2"/>
  <c r="W83" i="2" s="1"/>
  <c r="S84" i="2"/>
  <c r="W84" i="2" s="1"/>
  <c r="S85" i="2"/>
  <c r="S86" i="2"/>
  <c r="W86" i="2" s="1"/>
  <c r="S87" i="2"/>
  <c r="W87" i="2" s="1"/>
  <c r="S88" i="2"/>
  <c r="W88" i="2" s="1"/>
  <c r="S89" i="2"/>
  <c r="W89" i="2" s="1"/>
  <c r="S90" i="2"/>
  <c r="W90" i="2" s="1"/>
  <c r="S91" i="2"/>
  <c r="W91" i="2" s="1"/>
  <c r="S92" i="2"/>
  <c r="W92" i="2" s="1"/>
  <c r="S93" i="2"/>
  <c r="S94" i="2"/>
  <c r="S95" i="2"/>
  <c r="W95" i="2" s="1"/>
  <c r="S96" i="2"/>
  <c r="W96" i="2" s="1"/>
  <c r="S97" i="2"/>
  <c r="S98" i="2"/>
  <c r="W98" i="2" s="1"/>
  <c r="S99" i="2"/>
  <c r="W99" i="2" s="1"/>
  <c r="S100" i="2"/>
  <c r="W100" i="2" s="1"/>
  <c r="S101" i="2"/>
  <c r="W101" i="2" s="1"/>
  <c r="S102" i="2"/>
  <c r="W102" i="2" s="1"/>
  <c r="S103" i="2"/>
  <c r="W103" i="2" s="1"/>
  <c r="S104" i="2"/>
  <c r="W104" i="2" s="1"/>
  <c r="S105" i="2"/>
  <c r="S106" i="2"/>
  <c r="S107" i="2"/>
  <c r="W107" i="2" s="1"/>
  <c r="S108" i="2"/>
  <c r="W108" i="2" s="1"/>
  <c r="S109" i="2"/>
  <c r="S110" i="2"/>
  <c r="W110" i="2" s="1"/>
  <c r="S111" i="2"/>
  <c r="W111" i="2" s="1"/>
  <c r="S112" i="2"/>
  <c r="W112" i="2" s="1"/>
  <c r="S113" i="2"/>
  <c r="W113" i="2" s="1"/>
  <c r="S114" i="2"/>
  <c r="W114" i="2" s="1"/>
  <c r="S115" i="2"/>
  <c r="W115" i="2" s="1"/>
  <c r="S116" i="2"/>
  <c r="W116" i="2" s="1"/>
  <c r="S117" i="2"/>
  <c r="S118" i="2"/>
  <c r="S119" i="2"/>
  <c r="W119" i="2" s="1"/>
  <c r="S120" i="2"/>
  <c r="W120" i="2" s="1"/>
  <c r="S121" i="2"/>
  <c r="S122" i="2"/>
  <c r="W122" i="2" s="1"/>
  <c r="S123" i="2"/>
  <c r="W123" i="2" s="1"/>
  <c r="S124" i="2"/>
  <c r="W124" i="2" s="1"/>
  <c r="S125" i="2"/>
  <c r="W125" i="2" s="1"/>
  <c r="S126" i="2"/>
  <c r="W126" i="2" s="1"/>
  <c r="S127" i="2"/>
  <c r="W127" i="2" s="1"/>
  <c r="S128" i="2"/>
  <c r="W128" i="2" s="1"/>
  <c r="S129" i="2"/>
  <c r="S130" i="2"/>
  <c r="S131" i="2"/>
  <c r="W131" i="2" s="1"/>
  <c r="S132" i="2"/>
  <c r="W132" i="2" s="1"/>
  <c r="S133" i="2"/>
  <c r="S134" i="2"/>
  <c r="W134" i="2" s="1"/>
  <c r="S135" i="2"/>
  <c r="W135" i="2" s="1"/>
  <c r="S136" i="2"/>
  <c r="W136" i="2" s="1"/>
  <c r="S137" i="2"/>
  <c r="W137" i="2" s="1"/>
  <c r="S138" i="2"/>
  <c r="W138" i="2" s="1"/>
  <c r="S139" i="2"/>
  <c r="W139" i="2" s="1"/>
  <c r="S140" i="2"/>
  <c r="W140" i="2" s="1"/>
  <c r="S141" i="2"/>
  <c r="S142" i="2"/>
  <c r="S143" i="2"/>
  <c r="W143" i="2" s="1"/>
  <c r="S144" i="2"/>
  <c r="W144" i="2" s="1"/>
  <c r="S145" i="2"/>
  <c r="S146" i="2"/>
  <c r="W146" i="2" s="1"/>
  <c r="S147" i="2"/>
  <c r="W147" i="2" s="1"/>
  <c r="S148" i="2"/>
  <c r="W148" i="2" s="1"/>
  <c r="S149" i="2"/>
  <c r="W149" i="2" s="1"/>
  <c r="S150" i="2"/>
  <c r="W150" i="2" s="1"/>
  <c r="S151" i="2"/>
  <c r="W151" i="2" s="1"/>
  <c r="S152" i="2"/>
  <c r="W152" i="2" s="1"/>
  <c r="S153" i="2"/>
  <c r="S154" i="2"/>
  <c r="S155" i="2"/>
  <c r="W155" i="2" s="1"/>
  <c r="S156" i="2"/>
  <c r="W156" i="2" s="1"/>
  <c r="S157" i="2"/>
  <c r="S158" i="2"/>
  <c r="W158" i="2" s="1"/>
  <c r="S159" i="2"/>
  <c r="W159" i="2" s="1"/>
  <c r="S160" i="2"/>
  <c r="W160" i="2" s="1"/>
  <c r="S161" i="2"/>
  <c r="W161" i="2" s="1"/>
  <c r="S162" i="2"/>
  <c r="W162" i="2" s="1"/>
  <c r="S163" i="2"/>
  <c r="W163" i="2" s="1"/>
  <c r="S164" i="2"/>
  <c r="W164" i="2" s="1"/>
  <c r="S165" i="2"/>
  <c r="S166" i="2"/>
  <c r="S167" i="2"/>
  <c r="W167" i="2" s="1"/>
  <c r="S168" i="2"/>
  <c r="W168" i="2" s="1"/>
  <c r="S169" i="2"/>
  <c r="S170" i="2"/>
  <c r="W170" i="2" s="1"/>
  <c r="S171" i="2"/>
  <c r="W171" i="2" s="1"/>
  <c r="S172" i="2"/>
  <c r="W172" i="2" s="1"/>
  <c r="S173" i="2"/>
  <c r="W173" i="2" s="1"/>
  <c r="S174" i="2"/>
  <c r="W174" i="2" s="1"/>
  <c r="S175" i="2"/>
  <c r="W175" i="2" s="1"/>
  <c r="S176" i="2"/>
  <c r="W176" i="2" s="1"/>
  <c r="S177" i="2"/>
  <c r="S178" i="2"/>
  <c r="S179" i="2"/>
  <c r="W179" i="2" s="1"/>
  <c r="S180" i="2"/>
  <c r="W180" i="2" s="1"/>
  <c r="S181" i="2"/>
  <c r="S182" i="2"/>
  <c r="W182" i="2" s="1"/>
  <c r="S183" i="2"/>
  <c r="W183" i="2" s="1"/>
  <c r="S184" i="2"/>
  <c r="W184" i="2" s="1"/>
  <c r="S185" i="2"/>
  <c r="W185" i="2" s="1"/>
  <c r="S186" i="2"/>
  <c r="W186" i="2" s="1"/>
  <c r="S187" i="2"/>
  <c r="W187" i="2" s="1"/>
  <c r="S188" i="2"/>
  <c r="W188" i="2" s="1"/>
  <c r="S189" i="2"/>
  <c r="S190" i="2"/>
  <c r="S191" i="2"/>
  <c r="W191" i="2" s="1"/>
  <c r="S192" i="2"/>
  <c r="W192" i="2" s="1"/>
  <c r="S193" i="2"/>
  <c r="S194" i="2"/>
  <c r="W194" i="2" s="1"/>
  <c r="S195" i="2"/>
  <c r="W195" i="2" s="1"/>
  <c r="S196" i="2"/>
  <c r="W196" i="2" s="1"/>
  <c r="S197" i="2"/>
  <c r="W197" i="2" s="1"/>
  <c r="S198" i="2"/>
  <c r="W198" i="2" s="1"/>
  <c r="S199" i="2"/>
  <c r="W199" i="2" s="1"/>
  <c r="S200" i="2"/>
  <c r="W200" i="2" s="1"/>
  <c r="S201" i="2"/>
  <c r="S202" i="2"/>
  <c r="S203" i="2"/>
  <c r="W203" i="2" s="1"/>
  <c r="S204" i="2"/>
  <c r="W204" i="2" s="1"/>
  <c r="S205" i="2"/>
  <c r="S206" i="2"/>
  <c r="W206" i="2" s="1"/>
  <c r="S207" i="2"/>
  <c r="W207" i="2" s="1"/>
  <c r="S208" i="2"/>
  <c r="W208" i="2" s="1"/>
  <c r="S209" i="2"/>
  <c r="W209" i="2" s="1"/>
  <c r="S210" i="2"/>
  <c r="W210" i="2" s="1"/>
  <c r="S211" i="2"/>
  <c r="W211" i="2" s="1"/>
  <c r="S212" i="2"/>
  <c r="W212" i="2" s="1"/>
  <c r="S213" i="2"/>
  <c r="S214" i="2"/>
  <c r="S215" i="2"/>
  <c r="W215" i="2" s="1"/>
  <c r="S216" i="2"/>
  <c r="W216" i="2" s="1"/>
  <c r="S217" i="2"/>
  <c r="S218" i="2"/>
  <c r="W218" i="2" s="1"/>
  <c r="S219" i="2"/>
  <c r="W219" i="2" s="1"/>
  <c r="S220" i="2"/>
  <c r="W220" i="2" s="1"/>
  <c r="S221" i="2"/>
  <c r="W221" i="2" s="1"/>
  <c r="S222" i="2"/>
  <c r="W222" i="2" s="1"/>
  <c r="S223" i="2"/>
  <c r="W223" i="2" s="1"/>
  <c r="S224" i="2"/>
  <c r="W224" i="2" s="1"/>
  <c r="S225" i="2"/>
  <c r="S226" i="2"/>
  <c r="S227" i="2"/>
  <c r="W227" i="2" s="1"/>
  <c r="S228" i="2"/>
  <c r="W228" i="2" s="1"/>
  <c r="S229" i="2"/>
  <c r="S230" i="2"/>
  <c r="W230" i="2" s="1"/>
  <c r="S231" i="2"/>
  <c r="W231" i="2" s="1"/>
  <c r="S232" i="2"/>
  <c r="W232" i="2" s="1"/>
  <c r="S233" i="2"/>
  <c r="W233" i="2" s="1"/>
  <c r="S234" i="2"/>
  <c r="W234" i="2" s="1"/>
  <c r="S235" i="2"/>
  <c r="W23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C429A6-EC93-4CDE-9C87-2533B00F5FA9}" keepAlive="1" name="Query - constituency_master" description="Connection to the 'constituency_master' query in the workbook." type="5" refreshedVersion="0" background="1">
    <dbPr connection="Provider=Microsoft.Mashup.OleDb.1;Data Source=$Workbook$;Location=constituency_master;Extended Properties=&quot;&quot;" command="SELECT * FROM [constituency_master]"/>
  </connection>
  <connection id="2" xr16:uid="{59794CD5-D7BD-4172-93C5-A5AB2188EEE7}" keepAlive="1" name="Query - Master_Seat_Compare" description="Connection to the 'Master_Seat_Compare' query in the workbook." type="5" refreshedVersion="8" background="1" saveData="1">
    <dbPr connection="Provider=Microsoft.Mashup.OleDb.1;Data Source=$Workbook$;Location=Master_Seat_Compare;Extended Properties=&quot;&quot;" command="SELECT * FROM [Master_Seat_Compare]"/>
  </connection>
  <connection id="3" xr16:uid="{78FE6328-54D5-4209-A77D-1D830B827B8F}" keepAlive="1" name="Query - Master_Seat_Compare (2)" description="Connection to the 'Master_Seat_Compare (2)' query in the workbook." type="5" refreshedVersion="8" background="1" saveData="1">
    <dbPr connection="Provider=Microsoft.Mashup.OleDb.1;Data Source=$Workbook$;Location=&quot;Master_Seat_Compare (2)&quot;;Extended Properties=&quot;&quot;" command="SELECT * FROM [Master_Seat_Compare (2)]"/>
  </connection>
  <connection id="4" xr16:uid="{387C0501-F665-4275-AB95-46F505EAF868}" keepAlive="1" name="Query - Master_Seat_Compare__2" description="Connection to the 'Master_Seat_Compare__2' query in the workbook." type="5" refreshedVersion="8" background="1" saveData="1">
    <dbPr connection="Provider=Microsoft.Mashup.OleDb.1;Data Source=$Workbook$;Location=Master_Seat_Compare__2;Extended Properties=&quot;&quot;" command="SELECT * FROM [Master_Seat_Compare__2]"/>
  </connection>
  <connection id="5" xr16:uid="{9EC68571-8A2A-4618-9010-56C79289EDC3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6" xr16:uid="{88269655-250B-4638-8D37-24185252E5B7}" keepAlive="1" name="Query - runner up 2021" description="Connection to the 'runner up 2021' query in the workbook." type="5" refreshedVersion="0" background="1">
    <dbPr connection="Provider=Microsoft.Mashup.OleDb.1;Data Source=$Workbook$;Location=&quot;runner up 2021&quot;;Extended Properties=&quot;&quot;" command="SELECT * FROM [runner up 2021]"/>
  </connection>
  <connection id="7" xr16:uid="{9AEEABA8-7A1C-43EF-98F7-CF990C097238}" keepAlive="1" name="Query - runner up 2026" description="Connection to the 'runner up 2026' query in the workbook." type="5" refreshedVersion="0" background="1">
    <dbPr connection="Provider=Microsoft.Mashup.OleDb.1;Data Source=$Workbook$;Location=&quot;runner up 2026&quot;;Extended Properties=&quot;&quot;" command="SELECT * FROM [runner up 2026]"/>
  </connection>
  <connection id="8" xr16:uid="{B4C7583B-1EAA-46F8-B79D-CF8B50F6B35F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9" xr16:uid="{3E2779B9-8BB1-449D-AF98-DCBFF50BA341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10" xr16:uid="{6F22B68F-BC30-4176-AD97-26662CB059AE}" keepAlive="1" name="Query - Total votes 2021" description="Connection to the 'Total votes 2021' query in the workbook." type="5" refreshedVersion="0" background="1">
    <dbPr connection="Provider=Microsoft.Mashup.OleDb.1;Data Source=$Workbook$;Location=&quot;Total votes 2021&quot;;Extended Properties=&quot;&quot;" command="SELECT * FROM [Total votes 2021]"/>
  </connection>
  <connection id="11" xr16:uid="{F0286E29-0F28-45F2-AB4F-7107CD130C42}" keepAlive="1" name="Query - Total votes 2026" description="Connection to the 'Total votes 2026' query in the workbook." type="5" refreshedVersion="0" background="1">
    <dbPr connection="Provider=Microsoft.Mashup.OleDb.1;Data Source=$Workbook$;Location=&quot;Total votes 2026&quot;;Extended Properties=&quot;&quot;" command="SELECT * FROM [Total votes 2026]"/>
  </connection>
  <connection id="12" xr16:uid="{AA0FB95C-2B01-4C60-AC5D-C5EEECE71572}" keepAlive="1" name="Query - winners 2021" description="Connection to the 'winners 2021' query in the workbook." type="5" refreshedVersion="0" background="1">
    <dbPr connection="Provider=Microsoft.Mashup.OleDb.1;Data Source=$Workbook$;Location=&quot;winners 2021&quot;;Extended Properties=&quot;&quot;" command="SELECT * FROM [winners 2021]"/>
  </connection>
  <connection id="13" xr16:uid="{67AC8B49-DBA9-4D7D-A06E-A5FCC7E51937}" keepAlive="1" name="Query - winners 2026" description="Connection to the 'winners 2026' query in the workbook." type="5" refreshedVersion="0" background="1">
    <dbPr connection="Provider=Microsoft.Mashup.OleDb.1;Data Source=$Workbook$;Location=&quot;winners 2026&quot;;Extended Properties=&quot;&quot;" command="SELECT * FROM [winners 2026]"/>
  </connection>
  <connection id="14" xr16:uid="{578C4CF0-B369-436C-A0DD-7BAC0E550F8C}" keepAlive="1" name="Query - winners 21 &amp; 26" description="Connection to the 'winners 21 &amp; 26' query in the workbook." type="5" refreshedVersion="8" background="1" saveData="1">
    <dbPr connection="Provider=Microsoft.Mashup.OleDb.1;Data Source=$Workbook$;Location=&quot;winners 21 &amp; 26&quot;;Extended Properties=&quot;&quot;" command="SELECT * FROM [winners 21 &amp; 26]"/>
  </connection>
</connections>
</file>

<file path=xl/sharedStrings.xml><?xml version="1.0" encoding="utf-8"?>
<sst xmlns="http://schemas.openxmlformats.org/spreadsheetml/2006/main" count="2955" uniqueCount="1246">
  <si>
    <t>constituency</t>
  </si>
  <si>
    <t>ac_number</t>
  </si>
  <si>
    <t>winners 2021.candidate</t>
  </si>
  <si>
    <t>winners 2021.party</t>
  </si>
  <si>
    <t>winners 2021.votes</t>
  </si>
  <si>
    <t>winners 2026.candidate</t>
  </si>
  <si>
    <t>winners 2026.party</t>
  </si>
  <si>
    <t>winners 2026.votes</t>
  </si>
  <si>
    <t>district</t>
  </si>
  <si>
    <t>region</t>
  </si>
  <si>
    <t>reserved</t>
  </si>
  <si>
    <t>Gummidipundi</t>
  </si>
  <si>
    <t>GOVINDARAJAN T.J</t>
  </si>
  <si>
    <t>DMK</t>
  </si>
  <si>
    <t>S.VIJAYAKUMAR</t>
  </si>
  <si>
    <t>TVK</t>
  </si>
  <si>
    <t>Tiruvallur</t>
  </si>
  <si>
    <t>Chennai Metro</t>
  </si>
  <si>
    <t>GEN</t>
  </si>
  <si>
    <t>Ponneri</t>
  </si>
  <si>
    <t>DURAI. CHANDRASEKAR</t>
  </si>
  <si>
    <t>INC</t>
  </si>
  <si>
    <t>DR.RAVI.M.S</t>
  </si>
  <si>
    <t>SC</t>
  </si>
  <si>
    <t>Tiruttani</t>
  </si>
  <si>
    <t>S.Chandran</t>
  </si>
  <si>
    <t>G.HARI</t>
  </si>
  <si>
    <t>AIADMK</t>
  </si>
  <si>
    <t>Thiruvallur</t>
  </si>
  <si>
    <t>RAAJENDRAN, V.G.</t>
  </si>
  <si>
    <t>DR. T. ARUNKUMAR</t>
  </si>
  <si>
    <t>Poonamallee</t>
  </si>
  <si>
    <t>Krishnaswamy A</t>
  </si>
  <si>
    <t>PRAKASAM.R</t>
  </si>
  <si>
    <t>Avadi</t>
  </si>
  <si>
    <t>Nasar S M</t>
  </si>
  <si>
    <t>R.RAMESH KUMAR</t>
  </si>
  <si>
    <t>Maduravoyal</t>
  </si>
  <si>
    <t>GANAPATHY.K</t>
  </si>
  <si>
    <t>RHEVANTH CHARAN</t>
  </si>
  <si>
    <t>Ambattur</t>
  </si>
  <si>
    <t>JOSEPH SAMUEL</t>
  </si>
  <si>
    <t>BALAMURUGAN.G</t>
  </si>
  <si>
    <t>Madavaram</t>
  </si>
  <si>
    <t>SUDHARSANAM. S</t>
  </si>
  <si>
    <t>M.L.VIJAYPRABHU</t>
  </si>
  <si>
    <t>Thiruvottiyur</t>
  </si>
  <si>
    <t>K.P.SHANKAR</t>
  </si>
  <si>
    <t>SENTHIL KUMAR. N</t>
  </si>
  <si>
    <t>Dr. Radhakrishnan Nagar</t>
  </si>
  <si>
    <t>EBENEZER. J.J. (@)  JOHN EBENEZER.J</t>
  </si>
  <si>
    <t>N. MARIE WILSON</t>
  </si>
  <si>
    <t>Chennai</t>
  </si>
  <si>
    <t>Perambur</t>
  </si>
  <si>
    <t>SHEKAR. R.D</t>
  </si>
  <si>
    <t>C. JOSEPH VIJAY</t>
  </si>
  <si>
    <t>Kolathur</t>
  </si>
  <si>
    <t>M.K. STALIN</t>
  </si>
  <si>
    <t>V. S. BABU</t>
  </si>
  <si>
    <t>Villivakkam</t>
  </si>
  <si>
    <t>A . Vetriazhagan</t>
  </si>
  <si>
    <t>AADHAV ARJUNA</t>
  </si>
  <si>
    <t>Thiru-Vi-Ka-Nagar</t>
  </si>
  <si>
    <t>SIVAKUMAR.P</t>
  </si>
  <si>
    <t>M. R. PALLAVI</t>
  </si>
  <si>
    <t>Egmore</t>
  </si>
  <si>
    <t>I.PARANTHAMEN</t>
  </si>
  <si>
    <t>RAJMOHAN</t>
  </si>
  <si>
    <t>Royapuram</t>
  </si>
  <si>
    <t>MURTHY.R.IDREAM</t>
  </si>
  <si>
    <t>K.V. VIJAY DAMU</t>
  </si>
  <si>
    <t>Harbour</t>
  </si>
  <si>
    <t>SEKARBABU. P.K</t>
  </si>
  <si>
    <t>P K SEKARBABU</t>
  </si>
  <si>
    <t>Chepauk-Thiruvallikeni</t>
  </si>
  <si>
    <t>UDHAYANIDHI STALIN</t>
  </si>
  <si>
    <t>Thousand Lights</t>
  </si>
  <si>
    <t>EZHILAN N</t>
  </si>
  <si>
    <t>PRABHAKAR.J.C.D</t>
  </si>
  <si>
    <t>Anna Nagar</t>
  </si>
  <si>
    <t>M.K. Mohan</t>
  </si>
  <si>
    <t>V.K.RAMKUMAR</t>
  </si>
  <si>
    <t>Virugampakkam</t>
  </si>
  <si>
    <t>AMV.PRABHAKARA RAJA</t>
  </si>
  <si>
    <t>SABARINATHAN.R</t>
  </si>
  <si>
    <t>Saidapet</t>
  </si>
  <si>
    <t>SUBRAMANIAN. MA</t>
  </si>
  <si>
    <t>ARUL PRAKASAM. M</t>
  </si>
  <si>
    <t>Theayagaraya Nagar</t>
  </si>
  <si>
    <t>KARUNANITHI J</t>
  </si>
  <si>
    <t>ANAND N</t>
  </si>
  <si>
    <t>Mylapore</t>
  </si>
  <si>
    <t>VELU.DHA</t>
  </si>
  <si>
    <t>VENKATARAMANAN. P</t>
  </si>
  <si>
    <t>Velachery</t>
  </si>
  <si>
    <t>JMH.AASSAN MAULAANA</t>
  </si>
  <si>
    <t>KUMAR. R</t>
  </si>
  <si>
    <t>Shozhinganallur</t>
  </si>
  <si>
    <t>S.ARAVINDRAMESH</t>
  </si>
  <si>
    <t>ECR P SARAVANAN</t>
  </si>
  <si>
    <t>Kanchipuram</t>
  </si>
  <si>
    <t>Alandur</t>
  </si>
  <si>
    <t>T.M.Anbarasan</t>
  </si>
  <si>
    <t>M.HARISH</t>
  </si>
  <si>
    <t>Sriperumbudur</t>
  </si>
  <si>
    <t>SELVAPERUNTHAGAI</t>
  </si>
  <si>
    <t>THENNARASU.K</t>
  </si>
  <si>
    <t>Pallavaram</t>
  </si>
  <si>
    <t>KARUNANITHI</t>
  </si>
  <si>
    <t>J.KAMATCHI</t>
  </si>
  <si>
    <t>Tambaram</t>
  </si>
  <si>
    <t>Raja.S.R</t>
  </si>
  <si>
    <t>D.SARATHKUMAR</t>
  </si>
  <si>
    <t>Chengalpattu</t>
  </si>
  <si>
    <t>VARALAKSHMI.M</t>
  </si>
  <si>
    <t>S. THIYAGARAJAN</t>
  </si>
  <si>
    <t>Thiruporur</t>
  </si>
  <si>
    <t>S.S.Balaji</t>
  </si>
  <si>
    <t>VCK</t>
  </si>
  <si>
    <t>B.VIJAYARAJ</t>
  </si>
  <si>
    <t>North</t>
  </si>
  <si>
    <t>Cheyyur</t>
  </si>
  <si>
    <t>Babu M</t>
  </si>
  <si>
    <t>RAJASEKAR. E</t>
  </si>
  <si>
    <t>Maduranthakam</t>
  </si>
  <si>
    <t>Maragatham. K</t>
  </si>
  <si>
    <t>MARAGATHAM KUMARAVEL.K</t>
  </si>
  <si>
    <t>Uthiramerur</t>
  </si>
  <si>
    <t>SUNDAR K</t>
  </si>
  <si>
    <t>MUNIRATHINAM.J</t>
  </si>
  <si>
    <t>Kancheepuram</t>
  </si>
  <si>
    <t>C.V.M.P. Ezhailzrasan</t>
  </si>
  <si>
    <t>R.V. RANJITHKUMAR</t>
  </si>
  <si>
    <t>Arakonam</t>
  </si>
  <si>
    <t>S.RAVI</t>
  </si>
  <si>
    <t>V. GANDHIRAJ</t>
  </si>
  <si>
    <t>Vellore</t>
  </si>
  <si>
    <t>Sholinghur</t>
  </si>
  <si>
    <t>A.M.MUNIRATHINAM</t>
  </si>
  <si>
    <t>G.KAPIL</t>
  </si>
  <si>
    <t>Katpadi</t>
  </si>
  <si>
    <t>DURAIMURUGAN</t>
  </si>
  <si>
    <t>DR M SUDHAKAR</t>
  </si>
  <si>
    <t>Ranipet</t>
  </si>
  <si>
    <t>R.GANDHI</t>
  </si>
  <si>
    <t>THAHIRA</t>
  </si>
  <si>
    <t>Arcot</t>
  </si>
  <si>
    <t>J.L.Eswarappan</t>
  </si>
  <si>
    <t>S.M.SUKUMAR</t>
  </si>
  <si>
    <t>Karthikeyan .P</t>
  </si>
  <si>
    <t>M.M.VINOTH KANNAN</t>
  </si>
  <si>
    <t>Anaikattu</t>
  </si>
  <si>
    <t>A.P.Nandakumar</t>
  </si>
  <si>
    <t>D.VELAZHAGAN</t>
  </si>
  <si>
    <t>Kilvaithinankuppam</t>
  </si>
  <si>
    <t>M.JAGAN MOORTHY</t>
  </si>
  <si>
    <t>THENRAL KUMAR. E</t>
  </si>
  <si>
    <t>Gudiyatham</t>
  </si>
  <si>
    <t>Amulu.V</t>
  </si>
  <si>
    <t>K.SINDU</t>
  </si>
  <si>
    <t>Vaniayambadi</t>
  </si>
  <si>
    <t>G.SENDHIL KUMAR</t>
  </si>
  <si>
    <t>SYED FAROOQ BASHA SSB</t>
  </si>
  <si>
    <t>IUML</t>
  </si>
  <si>
    <t>Ambur</t>
  </si>
  <si>
    <t>VILWANATHAN.A.C</t>
  </si>
  <si>
    <t>VILWANATHAN. A.C.</t>
  </si>
  <si>
    <t>Jolarpet</t>
  </si>
  <si>
    <t>DEVARAJI.K.</t>
  </si>
  <si>
    <t>VEERAMANI K.C.</t>
  </si>
  <si>
    <t>Tiruppattur</t>
  </si>
  <si>
    <t>A. NALLATHAMBI</t>
  </si>
  <si>
    <t>DR.THIRUPATHI. N</t>
  </si>
  <si>
    <t>Uthangarai</t>
  </si>
  <si>
    <t>T.M.TAMILSELVAM</t>
  </si>
  <si>
    <t>N ELAIYARAJA</t>
  </si>
  <si>
    <t>Krishnagiri</t>
  </si>
  <si>
    <t>Bargur</t>
  </si>
  <si>
    <t>MATHIAZHAGAN D</t>
  </si>
  <si>
    <t>E.C. GOVINDARASAN</t>
  </si>
  <si>
    <t>Ashokkumar.K</t>
  </si>
  <si>
    <t>MUKUNDHAN.P</t>
  </si>
  <si>
    <t>Veppanahalli</t>
  </si>
  <si>
    <t>K.P.Munusamy</t>
  </si>
  <si>
    <t>SRINIVASAN.P.S</t>
  </si>
  <si>
    <t>Hosur</t>
  </si>
  <si>
    <t>PRAKAASH Y</t>
  </si>
  <si>
    <t>BALAKRISHNAREDDY. P</t>
  </si>
  <si>
    <t>Thalli</t>
  </si>
  <si>
    <t>RAMACHANDRAN.T</t>
  </si>
  <si>
    <t>CPI</t>
  </si>
  <si>
    <t>RAMACHANDRAN. T</t>
  </si>
  <si>
    <t>Palacode</t>
  </si>
  <si>
    <t>ANBALAGAN.K.P.</t>
  </si>
  <si>
    <t>ANBALAGAN. K.P.</t>
  </si>
  <si>
    <t>Dharmapuri</t>
  </si>
  <si>
    <t>Pennagaram</t>
  </si>
  <si>
    <t>MANI. G.K</t>
  </si>
  <si>
    <t>PMK</t>
  </si>
  <si>
    <t>GAJENDRAN. S.</t>
  </si>
  <si>
    <t>VENKATESHWARAN.S.P.</t>
  </si>
  <si>
    <t>SOWMIYA ANBUMANI</t>
  </si>
  <si>
    <t>Pappireddippatti</t>
  </si>
  <si>
    <t>GOVINDASAMY.A</t>
  </si>
  <si>
    <t>MARAGATHAM VETRIVEL</t>
  </si>
  <si>
    <t>Harur</t>
  </si>
  <si>
    <t>SAMPATHKUMAR.V</t>
  </si>
  <si>
    <t>SAMPATHKUMAR. V</t>
  </si>
  <si>
    <t>Chengam</t>
  </si>
  <si>
    <t>GIRI.M.P</t>
  </si>
  <si>
    <t>S.VELU</t>
  </si>
  <si>
    <t>Tiruvannamalai</t>
  </si>
  <si>
    <t>E V VELU</t>
  </si>
  <si>
    <t>VELU. E.V</t>
  </si>
  <si>
    <t>Kilpennathur</t>
  </si>
  <si>
    <t>K.Pitchandi</t>
  </si>
  <si>
    <t>RAMACHANDRAN.S</t>
  </si>
  <si>
    <t>Kalasapakkam</t>
  </si>
  <si>
    <t>Saravanan.P.S.T</t>
  </si>
  <si>
    <t>AGRI KRISHNAMURTHY. S S</t>
  </si>
  <si>
    <t>Polur</t>
  </si>
  <si>
    <t>Agri KRISHNAMURTHY. S S</t>
  </si>
  <si>
    <t>ABISHEK. R</t>
  </si>
  <si>
    <t>Arani</t>
  </si>
  <si>
    <t>S.RAMACHANDRAN</t>
  </si>
  <si>
    <t>JAYASUDHA. L</t>
  </si>
  <si>
    <t>Cheyyar</t>
  </si>
  <si>
    <t>JOTHI. O</t>
  </si>
  <si>
    <t>MUKKUR N. SUBRAMANIAN</t>
  </si>
  <si>
    <t>Vandavasi</t>
  </si>
  <si>
    <t>Ambethkumar S</t>
  </si>
  <si>
    <t>AMBETHKUMAR. S</t>
  </si>
  <si>
    <t>Gingee</t>
  </si>
  <si>
    <t>MASTHAN K S</t>
  </si>
  <si>
    <t>GANESHKUMAR A</t>
  </si>
  <si>
    <t>Villupuram</t>
  </si>
  <si>
    <t>Central</t>
  </si>
  <si>
    <t>Mailam</t>
  </si>
  <si>
    <t>SIVAKUMAR C</t>
  </si>
  <si>
    <t>SHANMUGAM C VE</t>
  </si>
  <si>
    <t>Tindivanam</t>
  </si>
  <si>
    <t>ARJUNAN P</t>
  </si>
  <si>
    <t>VANNI ARASU</t>
  </si>
  <si>
    <t>Vanur</t>
  </si>
  <si>
    <t>CHAKRAPANI M</t>
  </si>
  <si>
    <t>GOWTHAM D</t>
  </si>
  <si>
    <t>LAKSHMANAN R</t>
  </si>
  <si>
    <t>Vikravandi</t>
  </si>
  <si>
    <t>PUGAZHENTHI N</t>
  </si>
  <si>
    <t>Tirukkoyilur</t>
  </si>
  <si>
    <t>K.PONMUDY</t>
  </si>
  <si>
    <t>PALANISAMY S</t>
  </si>
  <si>
    <t>Ulundurpet</t>
  </si>
  <si>
    <t>MANIKANNAN A J</t>
  </si>
  <si>
    <t>VASANTHAVEL G R</t>
  </si>
  <si>
    <t>Rishivandiam</t>
  </si>
  <si>
    <t>KARTHIKEYAN K</t>
  </si>
  <si>
    <t>Sankarapuram</t>
  </si>
  <si>
    <t>UDHAYASURIYAN T</t>
  </si>
  <si>
    <t>RAKESH R</t>
  </si>
  <si>
    <t>Kallakurichi</t>
  </si>
  <si>
    <t>Senthilkumar.M</t>
  </si>
  <si>
    <t>ARUL VIGNESH C</t>
  </si>
  <si>
    <t>Gangavalli</t>
  </si>
  <si>
    <t>NALLATHAMBI,A.</t>
  </si>
  <si>
    <t>NALLATHAMBI. A</t>
  </si>
  <si>
    <t>Salem</t>
  </si>
  <si>
    <t>Attur</t>
  </si>
  <si>
    <t>JAYASANKARAN, A.P.</t>
  </si>
  <si>
    <t>JAYASANKARAN. A.P.</t>
  </si>
  <si>
    <t>Yercaud</t>
  </si>
  <si>
    <t>G. Chitra</t>
  </si>
  <si>
    <t>USHARANI. P</t>
  </si>
  <si>
    <t>ST</t>
  </si>
  <si>
    <t>Omalur</t>
  </si>
  <si>
    <t>R.MANI</t>
  </si>
  <si>
    <t>MANI. R</t>
  </si>
  <si>
    <t>Mettur</t>
  </si>
  <si>
    <t>SADHASIVAM.S</t>
  </si>
  <si>
    <t>VENKATACHALAM. G</t>
  </si>
  <si>
    <t>Edapadi</t>
  </si>
  <si>
    <t>EDAPPADI PALANISWAMI. K</t>
  </si>
  <si>
    <t>Sankari</t>
  </si>
  <si>
    <t>SUNDARARAJAN, S.</t>
  </si>
  <si>
    <t>VETRIVEL. S</t>
  </si>
  <si>
    <t>Salem (West)</t>
  </si>
  <si>
    <t>ARUL. R</t>
  </si>
  <si>
    <t>LAKSHMANAN.S</t>
  </si>
  <si>
    <t>Salem (North)</t>
  </si>
  <si>
    <t>R. RAJENDRAN</t>
  </si>
  <si>
    <t>SIVAKUMAR. K</t>
  </si>
  <si>
    <t>Salem (South)</t>
  </si>
  <si>
    <t>E.BALASUBRAMANIAN</t>
  </si>
  <si>
    <t>VIJAY TAMILAN PARTHIBAN. A</t>
  </si>
  <si>
    <t>Veerapandi</t>
  </si>
  <si>
    <t>RAJAMUTHU, M.</t>
  </si>
  <si>
    <t>PALANIVEL. M.S</t>
  </si>
  <si>
    <t>Rasipuram</t>
  </si>
  <si>
    <t>MATHIVENTHAN M</t>
  </si>
  <si>
    <t>LOGESH TAMILSELVAN D</t>
  </si>
  <si>
    <t>Namakkal</t>
  </si>
  <si>
    <t>Sendamangalam</t>
  </si>
  <si>
    <t>PONNUSAMY K</t>
  </si>
  <si>
    <t>P CHANDRASEKAR</t>
  </si>
  <si>
    <t>RAMALINGAM P</t>
  </si>
  <si>
    <t>DILIP C S</t>
  </si>
  <si>
    <t>Paramathi-Velur</t>
  </si>
  <si>
    <t>SEKAR S</t>
  </si>
  <si>
    <t>Tiruchengode</t>
  </si>
  <si>
    <t>ESWARAN E R</t>
  </si>
  <si>
    <t>ARUNRAJ K G</t>
  </si>
  <si>
    <t>Kumarapalayam</t>
  </si>
  <si>
    <t>THANGAMANI.P</t>
  </si>
  <si>
    <t>C.VIJAYALAKSHMI</t>
  </si>
  <si>
    <t>Erode (East)</t>
  </si>
  <si>
    <t>THIRUMAHAN EVERAA,E.</t>
  </si>
  <si>
    <t>M.VIJAY BALAJI</t>
  </si>
  <si>
    <t>Erode</t>
  </si>
  <si>
    <t>Kongu</t>
  </si>
  <si>
    <t>Erode (West)</t>
  </si>
  <si>
    <t>Muthusamy S</t>
  </si>
  <si>
    <t>ANANTH MOGHAN K.K.</t>
  </si>
  <si>
    <t>Modakurichi</t>
  </si>
  <si>
    <t>SARASWATHI.C</t>
  </si>
  <si>
    <t>BJP</t>
  </si>
  <si>
    <t>D.SHANMUGAN</t>
  </si>
  <si>
    <t>Dharapuram</t>
  </si>
  <si>
    <t>KAYALVIZHI N</t>
  </si>
  <si>
    <t>SATHYABAMA.P</t>
  </si>
  <si>
    <t>Kangayam</t>
  </si>
  <si>
    <t>SAMINATHAN.M.P</t>
  </si>
  <si>
    <t>NSN NATARAJ</t>
  </si>
  <si>
    <t>Perundurai</t>
  </si>
  <si>
    <t>JAYAKUMAR, S.</t>
  </si>
  <si>
    <t>JAYAKUMAR. S</t>
  </si>
  <si>
    <t>Bhavani</t>
  </si>
  <si>
    <t>KARUPPANAN.K.C</t>
  </si>
  <si>
    <t>KARUPPANAN. K.C</t>
  </si>
  <si>
    <t>Anthiyur</t>
  </si>
  <si>
    <t>VENKATACHALAM.A.G</t>
  </si>
  <si>
    <t>HARIBASKAR.P</t>
  </si>
  <si>
    <t>Gobichettipalayam</t>
  </si>
  <si>
    <t>SENGOTTAIYAN K.A</t>
  </si>
  <si>
    <t>SENGOTTAIYAN.K.A</t>
  </si>
  <si>
    <t>Tirupur</t>
  </si>
  <si>
    <t>Bhavanisagar</t>
  </si>
  <si>
    <t>A.Bannari</t>
  </si>
  <si>
    <t>V.P.TAMILSELVI</t>
  </si>
  <si>
    <t>Udhagamandalam</t>
  </si>
  <si>
    <t>GANESH, R.</t>
  </si>
  <si>
    <t>BHOJARAJAN.M</t>
  </si>
  <si>
    <t>Gudalur</t>
  </si>
  <si>
    <t>PON.JAYASEELAN</t>
  </si>
  <si>
    <t>DHRAVIDAMANI.M</t>
  </si>
  <si>
    <t>Coonoor</t>
  </si>
  <si>
    <t>Ramachandran, K.</t>
  </si>
  <si>
    <t>M. RAJU</t>
  </si>
  <si>
    <t>Mettupalayam</t>
  </si>
  <si>
    <t>SELVARAJ A K</t>
  </si>
  <si>
    <t>SUNILANAND</t>
  </si>
  <si>
    <t>Avanashi</t>
  </si>
  <si>
    <t>DHANAPAL, P</t>
  </si>
  <si>
    <t>KAMALI.S</t>
  </si>
  <si>
    <t>Tiruppur (North)</t>
  </si>
  <si>
    <t>VIJEYAKUMAR.K.N</t>
  </si>
  <si>
    <t>V.SATHYABAMA</t>
  </si>
  <si>
    <t>Tiruppur (South)</t>
  </si>
  <si>
    <t>SELVARAJ. K.</t>
  </si>
  <si>
    <t>BALAMURUGAN. S</t>
  </si>
  <si>
    <t>Nilgiris</t>
  </si>
  <si>
    <t>Palladam</t>
  </si>
  <si>
    <t>ANANDAN M S M</t>
  </si>
  <si>
    <t>K.RAMKUMAR</t>
  </si>
  <si>
    <t>Sulur</t>
  </si>
  <si>
    <t>KANDASAMY V.P.</t>
  </si>
  <si>
    <t>NM.SUKUMAR</t>
  </si>
  <si>
    <t>Kavundampalayam</t>
  </si>
  <si>
    <t>G.Arunkumar</t>
  </si>
  <si>
    <t>KANIMOZHI SANTHOSH</t>
  </si>
  <si>
    <t>Coimbatore</t>
  </si>
  <si>
    <t>Coimbatore North</t>
  </si>
  <si>
    <t>AMMAN K.ARJUNAN</t>
  </si>
  <si>
    <t>V. SAMPATHKUMAR</t>
  </si>
  <si>
    <t>Thondamuthur</t>
  </si>
  <si>
    <t>S.P. VELUMANI</t>
  </si>
  <si>
    <t>S.P.VELUMANI</t>
  </si>
  <si>
    <t>Coimbatore South</t>
  </si>
  <si>
    <t>VANATHI SRINIVASAN</t>
  </si>
  <si>
    <t>V SENTHILBALAJI</t>
  </si>
  <si>
    <t>Singanallur</t>
  </si>
  <si>
    <t>Jayaram, K.R</t>
  </si>
  <si>
    <t>K.S.SRI GIRI PRASATH</t>
  </si>
  <si>
    <t>Kinathukadavu</t>
  </si>
  <si>
    <t>Damodaran.S</t>
  </si>
  <si>
    <t>VIGNESH K</t>
  </si>
  <si>
    <t>Pollachi</t>
  </si>
  <si>
    <t>Pollachi V. Jayaraman</t>
  </si>
  <si>
    <t>K. NITHYANANDHAN</t>
  </si>
  <si>
    <t>Valparai</t>
  </si>
  <si>
    <t>AMULKANDASAMI T K</t>
  </si>
  <si>
    <t>KUTTY (ALIAS) SUDHAKAR. A</t>
  </si>
  <si>
    <t>Udumalpet</t>
  </si>
  <si>
    <t>Radhakrishnan,K.</t>
  </si>
  <si>
    <t>JAYAKUMAR M.</t>
  </si>
  <si>
    <t>Madathukulam</t>
  </si>
  <si>
    <t>C MAHENDRAN</t>
  </si>
  <si>
    <t>R JAYARAMAKRISHNAN</t>
  </si>
  <si>
    <t>Palani</t>
  </si>
  <si>
    <t>SENTHIL KUMAR I.P</t>
  </si>
  <si>
    <t>RAVIMANOHARAN. K</t>
  </si>
  <si>
    <t>Dindigul</t>
  </si>
  <si>
    <t>South</t>
  </si>
  <si>
    <t>Oddanchatram</t>
  </si>
  <si>
    <t>SAKKARAPANI R</t>
  </si>
  <si>
    <t>SAKKARAPANI. R</t>
  </si>
  <si>
    <t>Athoor</t>
  </si>
  <si>
    <t>PERIYASAMY I</t>
  </si>
  <si>
    <t>I. PERIASAMY</t>
  </si>
  <si>
    <t>Nilakottai</t>
  </si>
  <si>
    <t>S.Thenmozhi</t>
  </si>
  <si>
    <t>AYYANAR.R</t>
  </si>
  <si>
    <t>Natham</t>
  </si>
  <si>
    <t>NATHAM.R.VISWANATHAN</t>
  </si>
  <si>
    <t>NATHAM VISWANATHAN R</t>
  </si>
  <si>
    <t>SREENIVASAN.C</t>
  </si>
  <si>
    <t>SENTHILKUMAR. I.P</t>
  </si>
  <si>
    <t>Vedasandur</t>
  </si>
  <si>
    <t>GANDHIRAJAN S</t>
  </si>
  <si>
    <t>SAMINATHAN. T</t>
  </si>
  <si>
    <t>Aravakurichi</t>
  </si>
  <si>
    <t>ELANGO. R</t>
  </si>
  <si>
    <t>Karur</t>
  </si>
  <si>
    <t>SENTHILBALAJI V</t>
  </si>
  <si>
    <t>M.R. VIJAYABHASKAR</t>
  </si>
  <si>
    <t>Krishnarayapuram</t>
  </si>
  <si>
    <t>SIVAGAMA SUNDARI.K</t>
  </si>
  <si>
    <t>SATHYA. M</t>
  </si>
  <si>
    <t>Kulithalai</t>
  </si>
  <si>
    <t>R.Manickam</t>
  </si>
  <si>
    <t>SURIYANUR. A. CHANDRAN</t>
  </si>
  <si>
    <t>Manapparai</t>
  </si>
  <si>
    <t>ABDUL SAMAD P</t>
  </si>
  <si>
    <t>R. KATHIRAVAN</t>
  </si>
  <si>
    <t>Tiruchirappalli</t>
  </si>
  <si>
    <t>Delta</t>
  </si>
  <si>
    <t>Srirangam</t>
  </si>
  <si>
    <t>Palaniyandi.M</t>
  </si>
  <si>
    <t>RAMESH</t>
  </si>
  <si>
    <t>Tiruchirapalli (West)</t>
  </si>
  <si>
    <t>Nehru, K.N.</t>
  </si>
  <si>
    <t>K.N.NEHRU</t>
  </si>
  <si>
    <t>Tiruchirapalli (East)</t>
  </si>
  <si>
    <t>INIGO IRUDAYARAJ,S.</t>
  </si>
  <si>
    <t>Thiruverambur</t>
  </si>
  <si>
    <t>ANBIL MAHESH POYYAMOZHI</t>
  </si>
  <si>
    <t>VIJAYAKUMAR (A) NAVALPATTU S. VIJI</t>
  </si>
  <si>
    <t>Lalgudi</t>
  </si>
  <si>
    <t>A.SOUNDARAPANDIAN</t>
  </si>
  <si>
    <t>LEEMAROSE MARTIN</t>
  </si>
  <si>
    <t>Manachanallur</t>
  </si>
  <si>
    <t>S. KATHIRAVAN</t>
  </si>
  <si>
    <t>KATHIRAVAN. S</t>
  </si>
  <si>
    <t>Musiri</t>
  </si>
  <si>
    <t>N. Thiyagarajan</t>
  </si>
  <si>
    <t>M.VIGNESH</t>
  </si>
  <si>
    <t>Thuraiyur</t>
  </si>
  <si>
    <t>S.STALINKUMAR</t>
  </si>
  <si>
    <t>RAVISANKAR.M</t>
  </si>
  <si>
    <t>Perambalur</t>
  </si>
  <si>
    <t>PRABHAHARAN, M.</t>
  </si>
  <si>
    <t>Kunnam</t>
  </si>
  <si>
    <t>SIVASANKAR, S.S.</t>
  </si>
  <si>
    <t>SIVASANKAR. S.S</t>
  </si>
  <si>
    <t>Ariyalur</t>
  </si>
  <si>
    <t>CHINNAPPA K</t>
  </si>
  <si>
    <t>RAJENDRAN S</t>
  </si>
  <si>
    <t>Jayankondam</t>
  </si>
  <si>
    <t>KANNAN KA SO KA</t>
  </si>
  <si>
    <t>VAITHILINGAM G.</t>
  </si>
  <si>
    <t>Tittakudi</t>
  </si>
  <si>
    <t>GANESAN,  C.V.</t>
  </si>
  <si>
    <t>GANESAN C.V</t>
  </si>
  <si>
    <t>Cuddalore</t>
  </si>
  <si>
    <t>Vriddhachalam</t>
  </si>
  <si>
    <t>Radhakrishnan</t>
  </si>
  <si>
    <t>PREMALLATHA VIJAYAKANT</t>
  </si>
  <si>
    <t>DMDK</t>
  </si>
  <si>
    <t>Neyveli</t>
  </si>
  <si>
    <t>SABA.RAJENDRAN</t>
  </si>
  <si>
    <t>RAJENDRAN.R</t>
  </si>
  <si>
    <t>Panruti</t>
  </si>
  <si>
    <t>VELMURUGAN.T</t>
  </si>
  <si>
    <t>MOHAN. K</t>
  </si>
  <si>
    <t>G.IYAPPAN</t>
  </si>
  <si>
    <t>B.RAJKUMAR</t>
  </si>
  <si>
    <t>Kurinjipadi</t>
  </si>
  <si>
    <t>M.R.K.PANNEERSELVAM</t>
  </si>
  <si>
    <t>Bhuvanagiri</t>
  </si>
  <si>
    <t>Arunmozhithevan. A</t>
  </si>
  <si>
    <t>ARUNMOZHITHEVAN . A</t>
  </si>
  <si>
    <t>Chidambaram</t>
  </si>
  <si>
    <t>K.A. PANDIAN</t>
  </si>
  <si>
    <t>THAMIMUN ANSARI. M</t>
  </si>
  <si>
    <t>Kattumannarkoil</t>
  </si>
  <si>
    <t>SINTHANAI SELVAN</t>
  </si>
  <si>
    <t>L.E. JOTHIMANI</t>
  </si>
  <si>
    <t>Sirkali</t>
  </si>
  <si>
    <t>PANNEERSELVAM</t>
  </si>
  <si>
    <t>SENTHILSELVAN.R</t>
  </si>
  <si>
    <t>Nagapattinam</t>
  </si>
  <si>
    <t>Mayiladuthurai</t>
  </si>
  <si>
    <t>Rajakumar.S</t>
  </si>
  <si>
    <t>JAMAL MOHAMED YOUNOOS. Y.N</t>
  </si>
  <si>
    <t>Poompuhar</t>
  </si>
  <si>
    <t>Nivedha M. Murugan</t>
  </si>
  <si>
    <t>NIVEDHA M MURUGAN</t>
  </si>
  <si>
    <t>J. Mohamed Shanavas</t>
  </si>
  <si>
    <t>M.H.JAWAHIRULLAH</t>
  </si>
  <si>
    <t>Kilvelur</t>
  </si>
  <si>
    <t>NAGAIMAALI V P</t>
  </si>
  <si>
    <t>CPI(M)</t>
  </si>
  <si>
    <t>LATHA. T</t>
  </si>
  <si>
    <t>Vedaranyam</t>
  </si>
  <si>
    <t>O.S.MANIAN</t>
  </si>
  <si>
    <t>MANIAN. O.S</t>
  </si>
  <si>
    <t>Thiruthuraipundi</t>
  </si>
  <si>
    <t>MARIMUTHU K</t>
  </si>
  <si>
    <t>MARIMUTHU.K</t>
  </si>
  <si>
    <t>Tiruvarur</t>
  </si>
  <si>
    <t>Mannargudi</t>
  </si>
  <si>
    <t>RAJAA T R B</t>
  </si>
  <si>
    <t>KAMARAJ. S</t>
  </si>
  <si>
    <t>AMMK</t>
  </si>
  <si>
    <t>Thiruvarur</t>
  </si>
  <si>
    <t>KALAIVANAN  POONDI  K.</t>
  </si>
  <si>
    <t>KALAIVANAN POONDI  K</t>
  </si>
  <si>
    <t>Nannilam</t>
  </si>
  <si>
    <t>KAMARAJ R</t>
  </si>
  <si>
    <t>KAMARAJ. R</t>
  </si>
  <si>
    <t>Thiruvidamarudur</t>
  </si>
  <si>
    <t>CHEZHIAAN,  GOVI.</t>
  </si>
  <si>
    <t>GOVI.CHEZHIAAN</t>
  </si>
  <si>
    <t>Thanjavur</t>
  </si>
  <si>
    <t>Kumbakonam</t>
  </si>
  <si>
    <t>ANBALAGAN, G.</t>
  </si>
  <si>
    <t>VINOTH</t>
  </si>
  <si>
    <t>Papanasam</t>
  </si>
  <si>
    <t>Dr.JAWAHIRULLAH, M.H.</t>
  </si>
  <si>
    <t>A.M. SHAHJAHAN</t>
  </si>
  <si>
    <t>Thiruvaiyaru</t>
  </si>
  <si>
    <t>DURAI.CHANDRASEKARAN</t>
  </si>
  <si>
    <t>DURAI. CHANDRASEKARAN</t>
  </si>
  <si>
    <t>NEELAMEGAM, T.K.G.</t>
  </si>
  <si>
    <t>R. VIJAYSARAVANAN</t>
  </si>
  <si>
    <t>Orathanad</t>
  </si>
  <si>
    <t>VAITHILINGAM, R.</t>
  </si>
  <si>
    <t>R. VAITHILINGAM</t>
  </si>
  <si>
    <t>Pattukkottai</t>
  </si>
  <si>
    <t>ANNADURAI, K.</t>
  </si>
  <si>
    <t>ANNADURAI K</t>
  </si>
  <si>
    <t>Peravurani</t>
  </si>
  <si>
    <t>ASHOKKUMAR, N.</t>
  </si>
  <si>
    <t>ASHOKKUMAR. N</t>
  </si>
  <si>
    <t>Gandharvakottai</t>
  </si>
  <si>
    <t>M.Chinnadurai</t>
  </si>
  <si>
    <t>N. SUBRAMANIAN</t>
  </si>
  <si>
    <t>Pudukkottai</t>
  </si>
  <si>
    <t>Viralimalai</t>
  </si>
  <si>
    <t>VIJAYA BASKER C</t>
  </si>
  <si>
    <t>VIJAYABASKAR. C</t>
  </si>
  <si>
    <t>V . MUTHURAJA</t>
  </si>
  <si>
    <t>V. MUTHURAJA</t>
  </si>
  <si>
    <t>Thirumayam</t>
  </si>
  <si>
    <t>S.REGUPATHY</t>
  </si>
  <si>
    <t>REGUPATHY.S</t>
  </si>
  <si>
    <t>Alangudi</t>
  </si>
  <si>
    <t>SIVA.V.MEYYANATHAN</t>
  </si>
  <si>
    <t>Arantangi</t>
  </si>
  <si>
    <t>RAMACHANDRAN T</t>
  </si>
  <si>
    <t>MOHAMED FARVAS. J</t>
  </si>
  <si>
    <t>Karaikudi</t>
  </si>
  <si>
    <t>S.Mangudi</t>
  </si>
  <si>
    <t>DR.PRABHU. TK</t>
  </si>
  <si>
    <t>Sivaganga</t>
  </si>
  <si>
    <t>KR.PERIYAKARUPPAN</t>
  </si>
  <si>
    <t>SEENIVASA SETHUPATHY. R</t>
  </si>
  <si>
    <t>PR. Senthilnathan</t>
  </si>
  <si>
    <t>KULANTHAI RANI A</t>
  </si>
  <si>
    <t>Manamadurai</t>
  </si>
  <si>
    <t>Tamilarasi A.</t>
  </si>
  <si>
    <t>ELANGOVAN.D</t>
  </si>
  <si>
    <t>Melur</t>
  </si>
  <si>
    <t>PERIYAPULLAN @ SELVAM  P.</t>
  </si>
  <si>
    <t>P.VISWANATHAN</t>
  </si>
  <si>
    <t>Madurai</t>
  </si>
  <si>
    <t>Madurai East</t>
  </si>
  <si>
    <t>MOORTHY P</t>
  </si>
  <si>
    <t>KARTHIKEYAN S</t>
  </si>
  <si>
    <t>Sholavandan</t>
  </si>
  <si>
    <t>VENKATESAN A</t>
  </si>
  <si>
    <t>KARUPPAIAH.M.V</t>
  </si>
  <si>
    <t>Madurai North</t>
  </si>
  <si>
    <t>THALAPATHI G</t>
  </si>
  <si>
    <t>A.KALLANAI</t>
  </si>
  <si>
    <t>Madurai South</t>
  </si>
  <si>
    <t>BOOMINATHAN.M</t>
  </si>
  <si>
    <t>M.M.GOPISON</t>
  </si>
  <si>
    <t>Madurai Central</t>
  </si>
  <si>
    <t>PALANIVEL THIAGA RAJAN</t>
  </si>
  <si>
    <t>MADHAR BADHURUDEEN</t>
  </si>
  <si>
    <t>Madurai West</t>
  </si>
  <si>
    <t>RAJU. K</t>
  </si>
  <si>
    <t>THANGAPANDI SR</t>
  </si>
  <si>
    <t>Thiruparankundram</t>
  </si>
  <si>
    <t>RAJANCHELLAPPA, V.V.</t>
  </si>
  <si>
    <t>NIRMALKUMAR. R.</t>
  </si>
  <si>
    <t>Thirumangalam</t>
  </si>
  <si>
    <t>UDHAYAKUMAR R B</t>
  </si>
  <si>
    <t>MANIMARAN.M</t>
  </si>
  <si>
    <t>Usilampatti</t>
  </si>
  <si>
    <t>AYYAPPAN P</t>
  </si>
  <si>
    <t>VIJAY. M</t>
  </si>
  <si>
    <t>Andipatti</t>
  </si>
  <si>
    <t>A.MAHARAJAN</t>
  </si>
  <si>
    <t>MAHARAJAN.A</t>
  </si>
  <si>
    <t>Theni</t>
  </si>
  <si>
    <t>Periyakulam</t>
  </si>
  <si>
    <t>K.S.SARAVANAKUMAAR</t>
  </si>
  <si>
    <t>SABARI IYNGARAN G.</t>
  </si>
  <si>
    <t>Bodinayakanur</t>
  </si>
  <si>
    <t>O.PANNEERSELVAM</t>
  </si>
  <si>
    <t>PANNEERSELVAM.O</t>
  </si>
  <si>
    <t>Cumbum</t>
  </si>
  <si>
    <t>N.Ramakrishnan</t>
  </si>
  <si>
    <t>JEGANATHMISHRA PLA</t>
  </si>
  <si>
    <t>Rajapalayam</t>
  </si>
  <si>
    <t>THANGAPANDIAN S.</t>
  </si>
  <si>
    <t>JEGADESHWARI. K</t>
  </si>
  <si>
    <t>Virudhunagar</t>
  </si>
  <si>
    <t>Srivilliputhur</t>
  </si>
  <si>
    <t>MANRAJ, E.M.</t>
  </si>
  <si>
    <t>KARTHIK.A</t>
  </si>
  <si>
    <t>Sattur</t>
  </si>
  <si>
    <t>RAGHURAMAN,  A.R.R.</t>
  </si>
  <si>
    <t>KADARKARAIRAJ. A</t>
  </si>
  <si>
    <t>Sivakasi</t>
  </si>
  <si>
    <t>Ashokan.G</t>
  </si>
  <si>
    <t>KEERTHANA S</t>
  </si>
  <si>
    <t>SEENIVASAN A.R.R</t>
  </si>
  <si>
    <t>SELVAM P</t>
  </si>
  <si>
    <t>Aruppukottai</t>
  </si>
  <si>
    <t>K.K.S.S.R.RAMACHANDRAN</t>
  </si>
  <si>
    <t>RAMACHANDRAN. K.K.S.S.R</t>
  </si>
  <si>
    <t>Tiruchuli</t>
  </si>
  <si>
    <t>THANGAM THENARASU</t>
  </si>
  <si>
    <t>Paramakudi</t>
  </si>
  <si>
    <t>MURUGESAN S</t>
  </si>
  <si>
    <t>ADVOCATE. KATHIRAVAN. K.K</t>
  </si>
  <si>
    <t>Ramanathapuram</t>
  </si>
  <si>
    <t>Tiruvadanai</t>
  </si>
  <si>
    <t>KARUMANICKAM</t>
  </si>
  <si>
    <t>RAJEEV</t>
  </si>
  <si>
    <t>KATHARBATCHA MUTHURAMALINGAM</t>
  </si>
  <si>
    <t>Mudukulathur</t>
  </si>
  <si>
    <t>R.S.RAJAKANNAPPAN</t>
  </si>
  <si>
    <t>Vilathikulam</t>
  </si>
  <si>
    <t>MARKANDAYAN V</t>
  </si>
  <si>
    <t>MARKANDAYAN G V</t>
  </si>
  <si>
    <t>Thoothukudi</t>
  </si>
  <si>
    <t>Thoothukkudi</t>
  </si>
  <si>
    <t>P.Geetha Jeevan</t>
  </si>
  <si>
    <t>SRINATH</t>
  </si>
  <si>
    <t>Tiruchendur</t>
  </si>
  <si>
    <t>Anitha R. Radhakrishnan</t>
  </si>
  <si>
    <t>ANITHA R. RADHAKRISHNAN</t>
  </si>
  <si>
    <t>Srivaikuntam</t>
  </si>
  <si>
    <t>Amirtharaj .S</t>
  </si>
  <si>
    <t>SARAVANAN. G</t>
  </si>
  <si>
    <t>Ottapidaram</t>
  </si>
  <si>
    <t>SHUNMUGAIAH C</t>
  </si>
  <si>
    <t>P .MATHANRAJA</t>
  </si>
  <si>
    <t>Kovilpatti</t>
  </si>
  <si>
    <t>KADAMBUR RAJU</t>
  </si>
  <si>
    <t>KARUNANITHI.K</t>
  </si>
  <si>
    <t>Sankarankovil</t>
  </si>
  <si>
    <t>RAJA E</t>
  </si>
  <si>
    <t>DR. DHILIPAN JAISHANKAR</t>
  </si>
  <si>
    <t>Tirunelveli</t>
  </si>
  <si>
    <t>Vasudevanallur</t>
  </si>
  <si>
    <t>SADHAN THIRUMALAIKUMAR, DOCTOR.T</t>
  </si>
  <si>
    <t>E. RAJA</t>
  </si>
  <si>
    <t>Kadayanallur</t>
  </si>
  <si>
    <t>C.KRISHNAMURALI</t>
  </si>
  <si>
    <t>RAJENDRAN. T. M</t>
  </si>
  <si>
    <t>Tenkasi</t>
  </si>
  <si>
    <t>PALANI NADAR.S</t>
  </si>
  <si>
    <t>DR.KALAI KATHIRAVAN</t>
  </si>
  <si>
    <t>Alangulam</t>
  </si>
  <si>
    <t>PAUL MANOJ PANDIAN</t>
  </si>
  <si>
    <t>Nainar Nagenthran</t>
  </si>
  <si>
    <t>MURUGHAN.R.S.</t>
  </si>
  <si>
    <t>Ambasamudram</t>
  </si>
  <si>
    <t>E.SUBAYA</t>
  </si>
  <si>
    <t>DR.ESAKKI SUBAYA</t>
  </si>
  <si>
    <t>Palayamcottai</t>
  </si>
  <si>
    <t>ABDUL WAHAB .M</t>
  </si>
  <si>
    <t>M.ABDUL WAHAB</t>
  </si>
  <si>
    <t>Nanguneri</t>
  </si>
  <si>
    <t>RUBY R MANOHARAN</t>
  </si>
  <si>
    <t>REDDIARPATTI V. NARAYANAN</t>
  </si>
  <si>
    <t>Radhapuram</t>
  </si>
  <si>
    <t>M.Appavu</t>
  </si>
  <si>
    <t>DR.SATHISH CHRISTOPHER</t>
  </si>
  <si>
    <t>Kanniyakumari</t>
  </si>
  <si>
    <t>THALAVAI SUNDARAM N.</t>
  </si>
  <si>
    <t>THALAVAI SUNDARAM. N</t>
  </si>
  <si>
    <t>Nagercoil</t>
  </si>
  <si>
    <t>Gandhi M.R.</t>
  </si>
  <si>
    <t>AUSTIN</t>
  </si>
  <si>
    <t>Colachel</t>
  </si>
  <si>
    <t>Prince J.G.</t>
  </si>
  <si>
    <t>THARAHAI CUTHBERT</t>
  </si>
  <si>
    <t>Padmanabhapuram</t>
  </si>
  <si>
    <t>Mano Thangaraj, T.</t>
  </si>
  <si>
    <t>CHELLASWAMY. R</t>
  </si>
  <si>
    <t>Vilavancode</t>
  </si>
  <si>
    <t>VIJAYADHARANI S</t>
  </si>
  <si>
    <t>PRAVEEN T.T</t>
  </si>
  <si>
    <t>Killiyoor</t>
  </si>
  <si>
    <t>RAJESH KUMAR  S</t>
  </si>
  <si>
    <t>RAJESH KUMAR. S</t>
  </si>
  <si>
    <t>runner up 2021.candidate</t>
  </si>
  <si>
    <t>runner up 2021.party</t>
  </si>
  <si>
    <t>runner up 2021.votes</t>
  </si>
  <si>
    <t>runner up 2026.candidate</t>
  </si>
  <si>
    <t>runner up 2026.party</t>
  </si>
  <si>
    <t>runner up 2026.votes</t>
  </si>
  <si>
    <t>Total votes 2021.Sum of votes</t>
  </si>
  <si>
    <t>Total votes 2026.Sum of votes</t>
  </si>
  <si>
    <t>PRAKASH M</t>
  </si>
  <si>
    <t>SUDHAKAR.V</t>
  </si>
  <si>
    <t>BALARAMAN. P</t>
  </si>
  <si>
    <t>DURAI CHANDRASEKAR</t>
  </si>
  <si>
    <t>G.Hari</t>
  </si>
  <si>
    <t>M.SATHYA KUMAR</t>
  </si>
  <si>
    <t>RAMANAH, BE VEE</t>
  </si>
  <si>
    <t>V.G. RAAJENDRAN</t>
  </si>
  <si>
    <t>Rajamannar S X</t>
  </si>
  <si>
    <t>KRISHNASWAMY.A</t>
  </si>
  <si>
    <t>Pandiarajan K</t>
  </si>
  <si>
    <t>S.M.NASAR</t>
  </si>
  <si>
    <t>BENJAMIN.P</t>
  </si>
  <si>
    <t>GANAPATHY. K</t>
  </si>
  <si>
    <t>V ALEXANDER</t>
  </si>
  <si>
    <t>DR A.P. POORNIMA</t>
  </si>
  <si>
    <t>Moorthy. V</t>
  </si>
  <si>
    <t>S.SUDHARSANAM</t>
  </si>
  <si>
    <t>K.KUPPAN</t>
  </si>
  <si>
    <t>SUNDARARAJ. L</t>
  </si>
  <si>
    <t>RAAJESH.R.S.</t>
  </si>
  <si>
    <t>J. JOHN EBENEZER</t>
  </si>
  <si>
    <t>DHANAPALAN N.R</t>
  </si>
  <si>
    <t>R.D. SHEKAR</t>
  </si>
  <si>
    <t>AADIRAJARAM</t>
  </si>
  <si>
    <t>M. K. STALIN</t>
  </si>
  <si>
    <t>J.C.D.Prabhakar</t>
  </si>
  <si>
    <t>KARTHIK MOHAN</t>
  </si>
  <si>
    <t>KALYANI.P.L</t>
  </si>
  <si>
    <t>K. S. RAVICHANDRAN</t>
  </si>
  <si>
    <t>B.JOHN PANDIAN</t>
  </si>
  <si>
    <t>TAMILAN PRASANNA</t>
  </si>
  <si>
    <t>JAYAKUMAR.D</t>
  </si>
  <si>
    <t>DR. A. SUBAIR KHAN</t>
  </si>
  <si>
    <t>VINOJ. P. SELVAM</t>
  </si>
  <si>
    <t>SINORA P S ASHOK</t>
  </si>
  <si>
    <t>KASSALI A.V.A</t>
  </si>
  <si>
    <t>SELVAM. D</t>
  </si>
  <si>
    <t>KUSHBOO SUNDAR</t>
  </si>
  <si>
    <t>EZHILAN NAGANATHAN</t>
  </si>
  <si>
    <t>S. Gokula Indira</t>
  </si>
  <si>
    <t>N.CHITRARASU</t>
  </si>
  <si>
    <t>VIRUGAI V.N.RAVI</t>
  </si>
  <si>
    <t>PRABHAKARA RAJA.A.M.V</t>
  </si>
  <si>
    <t>SAIDAI DURAISAMY</t>
  </si>
  <si>
    <t>SATHIYANAARAYANAN B</t>
  </si>
  <si>
    <t>SATHIYANARAYANAN B</t>
  </si>
  <si>
    <t>NATARAJ.R</t>
  </si>
  <si>
    <t>VELU. DHA</t>
  </si>
  <si>
    <t>M.K.ASHOK</t>
  </si>
  <si>
    <t>ASHOK. M.K</t>
  </si>
  <si>
    <t>K.P.KANDAN</t>
  </si>
  <si>
    <t>S. ARAVIND RAMESH</t>
  </si>
  <si>
    <t>B.Valarmathi</t>
  </si>
  <si>
    <t>T.M.ANBARASAN</t>
  </si>
  <si>
    <t>PALANI</t>
  </si>
  <si>
    <t>K. SELVAPERUNTHAGAI</t>
  </si>
  <si>
    <t>RAJENDRAN</t>
  </si>
  <si>
    <t>D.MURUGESAN</t>
  </si>
  <si>
    <t>Chinnaiyah.T.K.M</t>
  </si>
  <si>
    <t>R.S.KIRUTHIKA DEVI</t>
  </si>
  <si>
    <t>GAJENDRAN.M</t>
  </si>
  <si>
    <t>KARTHIKDHANDAPANI</t>
  </si>
  <si>
    <t>Arumugam.K</t>
  </si>
  <si>
    <t>R. PANNEERDOSS</t>
  </si>
  <si>
    <t>Kanitha S</t>
  </si>
  <si>
    <t>MOHAN RAJA.M.G.K</t>
  </si>
  <si>
    <t>Sathya. C.E</t>
  </si>
  <si>
    <t>EZHIL KATHARINE EZHILMALAI</t>
  </si>
  <si>
    <t>SOMASUNDARAM V</t>
  </si>
  <si>
    <t>SUNDAR.K</t>
  </si>
  <si>
    <t>P. Magesh Kumar</t>
  </si>
  <si>
    <t>V. SOMASUNDARAM</t>
  </si>
  <si>
    <t>GOWTHAMA SANNAH.J</t>
  </si>
  <si>
    <t>EZHIL CAROLINE</t>
  </si>
  <si>
    <t>A.M.KRISHNAN</t>
  </si>
  <si>
    <t>K.SARAVANAN</t>
  </si>
  <si>
    <t>V RAMU</t>
  </si>
  <si>
    <t>V. RAMU</t>
  </si>
  <si>
    <t>S.M.SUGUMAR</t>
  </si>
  <si>
    <t>R. GANDHI</t>
  </si>
  <si>
    <t>Elavazagan.K.L</t>
  </si>
  <si>
    <t>G.VIJAY MOHAN</t>
  </si>
  <si>
    <t>Appu S.R.K</t>
  </si>
  <si>
    <t>P.KARTHIKEYAN</t>
  </si>
  <si>
    <t>D.Velazhagan</t>
  </si>
  <si>
    <t>A.P.NANDAKUMAR</t>
  </si>
  <si>
    <t>K Seetharaman</t>
  </si>
  <si>
    <t>JEGAN MOORTHY. M</t>
  </si>
  <si>
    <t>Paritha.G</t>
  </si>
  <si>
    <t>K.B.PRADAP</t>
  </si>
  <si>
    <t>N.MOHAMMED NAYEEM</t>
  </si>
  <si>
    <t>SYED BHURHANUDEEN</t>
  </si>
  <si>
    <t>NAZAR MOHAMED.K</t>
  </si>
  <si>
    <t>IMTHIYAZ PANDARATTUDU ABDU</t>
  </si>
  <si>
    <t>VEERAMANI.K.C.</t>
  </si>
  <si>
    <t>MUNISAMY C</t>
  </si>
  <si>
    <t>T.K. RAJA</t>
  </si>
  <si>
    <t>S.Arumugam</t>
  </si>
  <si>
    <t>T M  TAMILSELVAM</t>
  </si>
  <si>
    <t>KRISHNAN A</t>
  </si>
  <si>
    <t>E. MURALIDHARAN</t>
  </si>
  <si>
    <t>SENGUTTUVAN.T</t>
  </si>
  <si>
    <t>ASHOKKUMAR.K</t>
  </si>
  <si>
    <t>P.Murugan</t>
  </si>
  <si>
    <t>MUNUSAMY.K.P</t>
  </si>
  <si>
    <t>JYOTHI S</t>
  </si>
  <si>
    <t>VENDARKARASAN.S</t>
  </si>
  <si>
    <t>Dr.NAGESH KUMAR.C</t>
  </si>
  <si>
    <t>DR.NAGESH KUMAR. C</t>
  </si>
  <si>
    <t>MURUGAN.P.K.</t>
  </si>
  <si>
    <t>GOPI. R.</t>
  </si>
  <si>
    <t>INBASEKARAN. P.N.P</t>
  </si>
  <si>
    <t>SELVAM. V.</t>
  </si>
  <si>
    <t>SUBRAMANI.P</t>
  </si>
  <si>
    <t>SIVAN. M.</t>
  </si>
  <si>
    <t>PRABHURAJASEKAR.M</t>
  </si>
  <si>
    <t>PALANIAPPAN. P</t>
  </si>
  <si>
    <t>KUMAR.A</t>
  </si>
  <si>
    <t>SHANMUGAM. A</t>
  </si>
  <si>
    <t>NAINAKANNU.M.S</t>
  </si>
  <si>
    <t>K BHARATHIDHASAN</t>
  </si>
  <si>
    <t>S THANIGAIVEL</t>
  </si>
  <si>
    <t>ARUL ARUMUGAM</t>
  </si>
  <si>
    <t>K.Selvakumar</t>
  </si>
  <si>
    <t>PITCHANDI.K</t>
  </si>
  <si>
    <t>Panneerselvam.V</t>
  </si>
  <si>
    <t>SARAVANAN. P.S.T</t>
  </si>
  <si>
    <t>SEKARAN. K.V</t>
  </si>
  <si>
    <t>SARAVANAN. P</t>
  </si>
  <si>
    <t>S.S.ANBALAGAN</t>
  </si>
  <si>
    <t>MAHALAKSHMI GOVARTHANAN</t>
  </si>
  <si>
    <t>DUSI. K. MOHAN</t>
  </si>
  <si>
    <t>DUSI K MOHAN</t>
  </si>
  <si>
    <t>Murali S</t>
  </si>
  <si>
    <t>RANI. P</t>
  </si>
  <si>
    <t>RAJENDIRAN P</t>
  </si>
  <si>
    <t>GINGEE MASTHAN K S</t>
  </si>
  <si>
    <t>Dr. MASILAMANI R</t>
  </si>
  <si>
    <t>VIJAY NIRANJAN A</t>
  </si>
  <si>
    <t>SEETHAPATHY P</t>
  </si>
  <si>
    <t>ARJUNAN. P</t>
  </si>
  <si>
    <t>SURESH P</t>
  </si>
  <si>
    <t>SHANMUGAM C Ve</t>
  </si>
  <si>
    <t>MOHANRAJ N</t>
  </si>
  <si>
    <t>MUTHAMILSELVAN R</t>
  </si>
  <si>
    <t>VIJAI VADIVEL A</t>
  </si>
  <si>
    <t>VAT.KALIVARADHAN</t>
  </si>
  <si>
    <t>VIJAY R BARANIBALAAJI</t>
  </si>
  <si>
    <t>KUMARAGURU R</t>
  </si>
  <si>
    <t>SANTHOSH S A</t>
  </si>
  <si>
    <t>ASHOK KUMAR G</t>
  </si>
  <si>
    <t>Dr.RAJA G</t>
  </si>
  <si>
    <t>Manirathinem.K.I</t>
  </si>
  <si>
    <t>RAJEEVGANDHI S</t>
  </si>
  <si>
    <t>REKHA PRIYADHARSHINI,J.</t>
  </si>
  <si>
    <t>CHINNADURAI. K</t>
  </si>
  <si>
    <t>CHINNADURAI, K.</t>
  </si>
  <si>
    <t>SELVABHARATHI. R.</t>
  </si>
  <si>
    <t>C. TAMILSELVAN</t>
  </si>
  <si>
    <t>LAKSHMI JANARTHANAN. J</t>
  </si>
  <si>
    <t>RANGARAJAN MOHAN KUMARAMANGALAM</t>
  </si>
  <si>
    <t>ADHIYAMAAN. R.V</t>
  </si>
  <si>
    <t>SRINIVASAPERUMAL.S</t>
  </si>
  <si>
    <t>MIDHUN CHAKRAVARTHY. M</t>
  </si>
  <si>
    <t>SAMBATHKUMAR. T</t>
  </si>
  <si>
    <t>PREMKUMAR. K</t>
  </si>
  <si>
    <t>IND</t>
  </si>
  <si>
    <t>RAJESH, K.M.</t>
  </si>
  <si>
    <t>SENTHILKUMAR. K</t>
  </si>
  <si>
    <t>RAJENDRAN. A</t>
  </si>
  <si>
    <t>KARTHE.M</t>
  </si>
  <si>
    <t>G.VENKATACHALAM</t>
  </si>
  <si>
    <t>RAJENDRAN. R</t>
  </si>
  <si>
    <t>A.S.SARAVANAN</t>
  </si>
  <si>
    <t>LOGANATHAN. M</t>
  </si>
  <si>
    <t>THARUN, A.K.</t>
  </si>
  <si>
    <t>SRI BALAJI SUGUMAR. S</t>
  </si>
  <si>
    <t>SAROJA V. Dr</t>
  </si>
  <si>
    <t>PREMKUMAR S D</t>
  </si>
  <si>
    <t>CHANDRAN S</t>
  </si>
  <si>
    <t>C CHANDRASEKARAN</t>
  </si>
  <si>
    <t>BASKAR K.P.P.</t>
  </si>
  <si>
    <t>SRIDEVI MOHAN P S</t>
  </si>
  <si>
    <t>MOORTHIY K S</t>
  </si>
  <si>
    <t>SARASWATHI PON</t>
  </si>
  <si>
    <t>SRMT SEKAR (A) CHANDRASEKAR R</t>
  </si>
  <si>
    <t>M.VENKATACHALAM</t>
  </si>
  <si>
    <t>P.THANGAMANI</t>
  </si>
  <si>
    <t>YUVARAJA,M.</t>
  </si>
  <si>
    <t>GOPINATH PALANIYAPPAN</t>
  </si>
  <si>
    <t>Ramalingam K V</t>
  </si>
  <si>
    <t>S. MUTHUSAMY</t>
  </si>
  <si>
    <t>SUBBULAKSHMI JEGADEESAN</t>
  </si>
  <si>
    <t>S.KIRTHIKA</t>
  </si>
  <si>
    <t>MURUGAN L</t>
  </si>
  <si>
    <t>INDIRANI.T</t>
  </si>
  <si>
    <t>RAMALINGAM.A.S</t>
  </si>
  <si>
    <t>MANI GOUNDER</t>
  </si>
  <si>
    <t>KKC BALU</t>
  </si>
  <si>
    <t>THOPPU VENKATACHALAM (ALIAS) N.D. VENKATACHALAM</t>
  </si>
  <si>
    <t>DURAIRAJ.K.P</t>
  </si>
  <si>
    <t>BALAKRISHNAN</t>
  </si>
  <si>
    <t>SHANMUGAVEL.K.S</t>
  </si>
  <si>
    <t>SIVABALAN.M</t>
  </si>
  <si>
    <t>MANIMARAN G.V</t>
  </si>
  <si>
    <t>NALLASIVAM.N</t>
  </si>
  <si>
    <t>P.L SUNDARAM</t>
  </si>
  <si>
    <t>A.BANNARI</t>
  </si>
  <si>
    <t>BHOJARAJAN, M.</t>
  </si>
  <si>
    <t>IBRAHIM.R</t>
  </si>
  <si>
    <t>KASILINGAM, S.</t>
  </si>
  <si>
    <t>Vinoth, D.</t>
  </si>
  <si>
    <t>A. RAMU</t>
  </si>
  <si>
    <t>SHANMUGASUNDARAM T R</t>
  </si>
  <si>
    <t>SMT.KAVITHA KALYANASUNDARAM</t>
  </si>
  <si>
    <t>ATHIYAMAAN RAJU</t>
  </si>
  <si>
    <t>DR. L. MURUGAN</t>
  </si>
  <si>
    <t>RAVI (Alias) SUBRAMANIAN . M</t>
  </si>
  <si>
    <t>M.S.M.ANANDAN</t>
  </si>
  <si>
    <t>GUNASEKARAN. S.</t>
  </si>
  <si>
    <t>DINESHKUMAR. N</t>
  </si>
  <si>
    <t>MUTHURATHINAM K</t>
  </si>
  <si>
    <t>K.P.PARAMASIVAM</t>
  </si>
  <si>
    <t>PREMIER SELVAM (a)KALICHAMY M</t>
  </si>
  <si>
    <t>V.P.KANDASAMY</t>
  </si>
  <si>
    <t>R.Krishnan</t>
  </si>
  <si>
    <t>ARUNKUMAR PRG</t>
  </si>
  <si>
    <t>SHANMUGASUNDARAM V.M</t>
  </si>
  <si>
    <t>DURAI. SENTHAMIL SELVAN B.E</t>
  </si>
  <si>
    <t>KARTHIKEYA</t>
  </si>
  <si>
    <t>SATHISH RAJU (ALIAS) K.P.R. SATHISH</t>
  </si>
  <si>
    <t>KAMALHAASAN</t>
  </si>
  <si>
    <t>MNM</t>
  </si>
  <si>
    <t>V. SENTHILKUMAR</t>
  </si>
  <si>
    <t>Karthik, N</t>
  </si>
  <si>
    <t>V.SRINIDHI</t>
  </si>
  <si>
    <t>Kuruchi Prabhakaran</t>
  </si>
  <si>
    <t>SABARI KARTHIKEYAN K.V.K.S</t>
  </si>
  <si>
    <t>Dr. Varadharajan, K.</t>
  </si>
  <si>
    <t>POLLACHI V. JAYARAMAN</t>
  </si>
  <si>
    <t>ARUMUGAM M</t>
  </si>
  <si>
    <t>DR. SRIDHARAN. A</t>
  </si>
  <si>
    <t>Thennarasu,K.</t>
  </si>
  <si>
    <t>RADHAKRISHNAN K.</t>
  </si>
  <si>
    <t>R.JAYARAMAKRISHNAN</t>
  </si>
  <si>
    <t>C SHANMUGAVELU</t>
  </si>
  <si>
    <t>RAVI MANOHARAN K</t>
  </si>
  <si>
    <t>DR. PRAVEEN KUMAR. M</t>
  </si>
  <si>
    <t>NATARAJ N.P</t>
  </si>
  <si>
    <t>VIDIYAL S. SEKAR</t>
  </si>
  <si>
    <t>THILAGABAMA M</t>
  </si>
  <si>
    <t>N. KALAISELVI</t>
  </si>
  <si>
    <t>K.Murugavelrajan</t>
  </si>
  <si>
    <t>NAGAJOTHI.S</t>
  </si>
  <si>
    <t>M.A.ANDI AMBALAM</t>
  </si>
  <si>
    <t>SELVAKUMAR K</t>
  </si>
  <si>
    <t>PANDI.N</t>
  </si>
  <si>
    <t>NAZEER RAJA. G</t>
  </si>
  <si>
    <t>PARAMASIVAM V P B</t>
  </si>
  <si>
    <t>PARAMASIVAM. V.P.B.</t>
  </si>
  <si>
    <t>ANNAMALAI. K</t>
  </si>
  <si>
    <t>KARTHIKEYAN. P</t>
  </si>
  <si>
    <t>VIJAYABHASKAR. M.R</t>
  </si>
  <si>
    <t>MATHIYALAGAN  V.P</t>
  </si>
  <si>
    <t>MUTHUKUMAR</t>
  </si>
  <si>
    <t>DR. DHIVYA. S</t>
  </si>
  <si>
    <t>N.R.Chandrasekar</t>
  </si>
  <si>
    <t>G.BALASUBRAMANI</t>
  </si>
  <si>
    <t>CHANDRASEKAR.R</t>
  </si>
  <si>
    <t>DR. PL. VIJAYAKUMAR</t>
  </si>
  <si>
    <t>KuPa Krishnan</t>
  </si>
  <si>
    <t>S. DURAIRAJ</t>
  </si>
  <si>
    <t>Padmanathan, V.</t>
  </si>
  <si>
    <t>G.RAMAMOORTHI</t>
  </si>
  <si>
    <t>VELLAMANDI NATARAJAN,N.</t>
  </si>
  <si>
    <t>S. INIGO IRUDAYARAJ</t>
  </si>
  <si>
    <t>P KUMAR</t>
  </si>
  <si>
    <t>D.R.DHARMARAJ</t>
  </si>
  <si>
    <t>KU PA KRISHNAN</t>
  </si>
  <si>
    <t>M. PARANJOTHI</t>
  </si>
  <si>
    <t>V.SARAVANAN</t>
  </si>
  <si>
    <t>M. Selvarasu</t>
  </si>
  <si>
    <t>N.S.KARUNAIRAAJA</t>
  </si>
  <si>
    <t>T.INDRAGANDHI</t>
  </si>
  <si>
    <t>E.SAROJA</t>
  </si>
  <si>
    <t>THAMIZHSELVAN, R.</t>
  </si>
  <si>
    <t>DR. JAYALAKSHMI. S.T</t>
  </si>
  <si>
    <t>RAMACHANDRAN, R.T.</t>
  </si>
  <si>
    <t>SARANYA. A</t>
  </si>
  <si>
    <t>LATHA BALU</t>
  </si>
  <si>
    <t>BALU K</t>
  </si>
  <si>
    <t>KANNAN KA.SO.KA.</t>
  </si>
  <si>
    <t>PERIYASAMY,  D.</t>
  </si>
  <si>
    <t>RAJASEKAR A</t>
  </si>
  <si>
    <t>Karthikeyan. J</t>
  </si>
  <si>
    <t>VIJAY.S</t>
  </si>
  <si>
    <t>JAGAN.K</t>
  </si>
  <si>
    <t>ABDUR RAHMAN. A.R</t>
  </si>
  <si>
    <t>M.C.SAMPATH</t>
  </si>
  <si>
    <t>A.S.CHANDARASEKARAN</t>
  </si>
  <si>
    <t>SELVI RAMAJAYAM</t>
  </si>
  <si>
    <t>A  BHUVANENTHIRAN</t>
  </si>
  <si>
    <t>Saravanan. Durai.K</t>
  </si>
  <si>
    <t>SARAVANAN. DURAI . K</t>
  </si>
  <si>
    <t>S. ABDUL RAHMAN</t>
  </si>
  <si>
    <t>PANDIAN. K.A</t>
  </si>
  <si>
    <t>N. MURUGUMARAN</t>
  </si>
  <si>
    <t>A. SOZHAN</t>
  </si>
  <si>
    <t>P.V.BHARATHI</t>
  </si>
  <si>
    <t>SAKTHI.M</t>
  </si>
  <si>
    <t>Palanisamy.A</t>
  </si>
  <si>
    <t>PALANISAMY. A   M.COM.</t>
  </si>
  <si>
    <t>S.Pavunraj</t>
  </si>
  <si>
    <t>PAVUNRAJ. S</t>
  </si>
  <si>
    <t>Thanka.kathiravan</t>
  </si>
  <si>
    <t>M.SUGUMAR</t>
  </si>
  <si>
    <t>VADIVEL RAVANAN  S</t>
  </si>
  <si>
    <t>SENTHIL PANDIAN. P</t>
  </si>
  <si>
    <t>S.K.VETHARATHINAM</t>
  </si>
  <si>
    <t>PUGAZHENDI. M</t>
  </si>
  <si>
    <t>SURESH KUMAR C</t>
  </si>
  <si>
    <t>PANDIYAN.S</t>
  </si>
  <si>
    <t>RAJAMANICKAM  SIVA</t>
  </si>
  <si>
    <t>RAJAA.T.R.B</t>
  </si>
  <si>
    <t>PANNERSELVAM A.N.R.</t>
  </si>
  <si>
    <t>VEERAMANI V</t>
  </si>
  <si>
    <t>JOTHIRAMAN  S</t>
  </si>
  <si>
    <t>MOHAMED MUBARAK</t>
  </si>
  <si>
    <t>UNION VEERAMANI, S.</t>
  </si>
  <si>
    <t>S.PRABAKARAN</t>
  </si>
  <si>
    <t>SRITHAR VANDAYAR, G.M.</t>
  </si>
  <si>
    <t>ANBALAGAN G</t>
  </si>
  <si>
    <t>GOPINATHAN, K.</t>
  </si>
  <si>
    <t>AZARUDEEN UDUMAN ALI</t>
  </si>
  <si>
    <t>VENKATESAN, S.</t>
  </si>
  <si>
    <t>MATHI. MANIKANDAN</t>
  </si>
  <si>
    <t>ARIVUDAINAMBI, V.</t>
  </si>
  <si>
    <t>SHAN. RAMANATHAN</t>
  </si>
  <si>
    <t>RAMCHANDRAN, M.</t>
  </si>
  <si>
    <t>DR. K. ARVIND</t>
  </si>
  <si>
    <t>RENGARAJAN, N.R.</t>
  </si>
  <si>
    <t>MATHAN C</t>
  </si>
  <si>
    <t>THIRUGNANASAMBANDAM, S.V.</t>
  </si>
  <si>
    <t>GOVI.ELANGO</t>
  </si>
  <si>
    <t>S.Jayabharathi</t>
  </si>
  <si>
    <t>C. UTHAYAKUMAR</t>
  </si>
  <si>
    <t>PALANIAPPAN</t>
  </si>
  <si>
    <t>MURUGESAN. P</t>
  </si>
  <si>
    <t>KARTHIK THONDAIMAN</t>
  </si>
  <si>
    <t>K.M. SHARIFF</t>
  </si>
  <si>
    <t>P.K.VAIRAMUTHU</t>
  </si>
  <si>
    <t>CHINTHAMANI.C</t>
  </si>
  <si>
    <t>DHARMA THANGAVEL</t>
  </si>
  <si>
    <t>KANDASAMY</t>
  </si>
  <si>
    <t>RAJANAYAGAM M</t>
  </si>
  <si>
    <t>RAMACHANDRAN . T</t>
  </si>
  <si>
    <t>H.Raja</t>
  </si>
  <si>
    <t>MANGUDI. S</t>
  </si>
  <si>
    <t>MARUDHU ALAGURAJ</t>
  </si>
  <si>
    <t>PERIAKARUPPAN. KR</t>
  </si>
  <si>
    <t>S. Gunasekaran</t>
  </si>
  <si>
    <t>SENTHILNATHAN PR</t>
  </si>
  <si>
    <t>Nagarajan S.</t>
  </si>
  <si>
    <t>TAMILARASI.A</t>
  </si>
  <si>
    <t>RAVICHANDRAN  T.</t>
  </si>
  <si>
    <t>A.MADURAIVEERAN</t>
  </si>
  <si>
    <t>GOPALAKRISHNAN R</t>
  </si>
  <si>
    <t>MANICKAM K</t>
  </si>
  <si>
    <t>VENKATESAN.A</t>
  </si>
  <si>
    <t>SARAVANAN P</t>
  </si>
  <si>
    <t>G.THALAPATHI</t>
  </si>
  <si>
    <t>SARAVANAN. S.S</t>
  </si>
  <si>
    <t>M.BOOMINATHAN</t>
  </si>
  <si>
    <t>JOTHI MUTHURAMALINGAM N</t>
  </si>
  <si>
    <t>CHINNAMMAL. C</t>
  </si>
  <si>
    <t>BALAJI R</t>
  </si>
  <si>
    <t>PONNUTHAI</t>
  </si>
  <si>
    <t>KIRUTHIGA THANGAPANDI</t>
  </si>
  <si>
    <t>MANIMARAN M</t>
  </si>
  <si>
    <t>UDHAYAKUMAR.R.B</t>
  </si>
  <si>
    <t>KATHIRAVAN P V</t>
  </si>
  <si>
    <t>MAHENDRAN. I</t>
  </si>
  <si>
    <t>A.LOGIRAJAN</t>
  </si>
  <si>
    <t>PANDI.V</t>
  </si>
  <si>
    <t>M Murugan</t>
  </si>
  <si>
    <t>SAKTHIVEL P.</t>
  </si>
  <si>
    <t>THANGATAMILSELVAN</t>
  </si>
  <si>
    <t>PRAKASH.S</t>
  </si>
  <si>
    <t>Syedukhan.S.P.M</t>
  </si>
  <si>
    <t>ERAMAKRISHNAN N</t>
  </si>
  <si>
    <t>RAJENTHRABHALAJI K.T</t>
  </si>
  <si>
    <t>THANGAPANDIAN. S</t>
  </si>
  <si>
    <t>MADHAVARAO, P.S.W.</t>
  </si>
  <si>
    <t>MAHALINGAM.P</t>
  </si>
  <si>
    <t>RAVICHANDHRAN, R.K.</t>
  </si>
  <si>
    <t>NAINAR NAGENTHRAN</t>
  </si>
  <si>
    <t>Lakshmi Ganesan</t>
  </si>
  <si>
    <t>ASHOKAN G</t>
  </si>
  <si>
    <t>PANDURANGAN G</t>
  </si>
  <si>
    <t>VIJAYAPRABHAKAR</t>
  </si>
  <si>
    <t>VAIGAICHELVAN</t>
  </si>
  <si>
    <t>KARTHIK KUMAR. K</t>
  </si>
  <si>
    <t>RAJASEKAR S</t>
  </si>
  <si>
    <t>SAMAYAN.S</t>
  </si>
  <si>
    <t>SADHAN PRABHAKAR N</t>
  </si>
  <si>
    <t>GOPIRAJAN. G</t>
  </si>
  <si>
    <t>K C ANIMUTHU</t>
  </si>
  <si>
    <t>RM. KARUMANICKAM</t>
  </si>
  <si>
    <t>D.KUPPURAMU</t>
  </si>
  <si>
    <t>SHAHUL HAMEED</t>
  </si>
  <si>
    <t>KEERTHIKA</t>
  </si>
  <si>
    <t>MALARVIZHI. B</t>
  </si>
  <si>
    <t>CHINNAPPAN P</t>
  </si>
  <si>
    <t>P. KASIRAM</t>
  </si>
  <si>
    <t>SDR Vijayaseelan</t>
  </si>
  <si>
    <t>P. GEETHA JEEVAN</t>
  </si>
  <si>
    <t>Radhakrishnan M</t>
  </si>
  <si>
    <t>J. MURUGAN</t>
  </si>
  <si>
    <t>S.P.SHUNMUGANATHAN</t>
  </si>
  <si>
    <t>SHANMUGANATHAN. S. P</t>
  </si>
  <si>
    <t>MOHAN P</t>
  </si>
  <si>
    <t>P.M.RAMAJEYAM</t>
  </si>
  <si>
    <t>TTV DHINAKARAN</t>
  </si>
  <si>
    <t>BALASUBRAMANIAN.S</t>
  </si>
  <si>
    <t>RAJALAKSHMI V M</t>
  </si>
  <si>
    <t>C. RAMARAJAN</t>
  </si>
  <si>
    <t>MANOHARAN A</t>
  </si>
  <si>
    <t>ANANTHAN AYYASAMY</t>
  </si>
  <si>
    <t>K.A.M.MUHAMMED ABUBACKER</t>
  </si>
  <si>
    <t>C. KRISHNAMURALI</t>
  </si>
  <si>
    <t>SELVA MOHANDAS PANDIAN.S</t>
  </si>
  <si>
    <t>S.SELVA MOHANDAS PANDIAN</t>
  </si>
  <si>
    <t>DR.POONGOTHAI ALADI ARUNA</t>
  </si>
  <si>
    <t>K R P PRABAKARAN</t>
  </si>
  <si>
    <t>Lakshmanan,A.L.S.</t>
  </si>
  <si>
    <t>SUBRAMANIAN.S</t>
  </si>
  <si>
    <t>R.AVUDAIAPPAN</t>
  </si>
  <si>
    <t>V.P.DURAI</t>
  </si>
  <si>
    <t>GERALD .G</t>
  </si>
  <si>
    <t>MARIA JOHN</t>
  </si>
  <si>
    <t>GANESARAJA</t>
  </si>
  <si>
    <t>RUBY.R.MANOHARAN</t>
  </si>
  <si>
    <t>I.S.Inbadurai</t>
  </si>
  <si>
    <t>APPAVU.M</t>
  </si>
  <si>
    <t>AUSTIN S.</t>
  </si>
  <si>
    <t>MAHESH.R</t>
  </si>
  <si>
    <t>Suresh Rajan N.</t>
  </si>
  <si>
    <t>BERVIN KINGS G</t>
  </si>
  <si>
    <t>Ramesh P.</t>
  </si>
  <si>
    <t>PREM ALEX LAWRENCE</t>
  </si>
  <si>
    <t>John Thankam, D.</t>
  </si>
  <si>
    <t>KRISHNA KUMAR. S</t>
  </si>
  <si>
    <t>JAYASEELAN R</t>
  </si>
  <si>
    <t>MICHAEL KUMAR K</t>
  </si>
  <si>
    <t>JUDE DEV   K.V</t>
  </si>
  <si>
    <t>SABIN. S</t>
  </si>
  <si>
    <t>Margin votes 2021</t>
  </si>
  <si>
    <t>Margin votes 2026</t>
  </si>
  <si>
    <t>Margin % 2021</t>
  </si>
  <si>
    <t>Margin % 2026</t>
  </si>
  <si>
    <t>Flipped</t>
  </si>
  <si>
    <t>Seats_2021</t>
  </si>
  <si>
    <t>Seats_2026</t>
  </si>
  <si>
    <t>Helper_key</t>
  </si>
  <si>
    <t>Central_AIADMK</t>
  </si>
  <si>
    <t>Central_DMK</t>
  </si>
  <si>
    <t>Central_INC</t>
  </si>
  <si>
    <t>Central_PMK</t>
  </si>
  <si>
    <t>Central_VCK</t>
  </si>
  <si>
    <t>Chennai Metro_DMK</t>
  </si>
  <si>
    <t>Chennai Metro_INC</t>
  </si>
  <si>
    <t>Delta_AIADMK</t>
  </si>
  <si>
    <t>Delta_CPI</t>
  </si>
  <si>
    <t>Delta_CPI(M)</t>
  </si>
  <si>
    <t>Delta_DMK</t>
  </si>
  <si>
    <t>Delta_INC</t>
  </si>
  <si>
    <t>Delta_VCK</t>
  </si>
  <si>
    <t>Kongu_AIADMK</t>
  </si>
  <si>
    <t>Kongu_BJP</t>
  </si>
  <si>
    <t>Kongu_DMK</t>
  </si>
  <si>
    <t>Kongu_INC</t>
  </si>
  <si>
    <t>North_AIADMK</t>
  </si>
  <si>
    <t>North_CPI</t>
  </si>
  <si>
    <t>North_DMK</t>
  </si>
  <si>
    <t>North_INC</t>
  </si>
  <si>
    <t>North_PMK</t>
  </si>
  <si>
    <t>North_VCK</t>
  </si>
  <si>
    <t>South_AIADMK</t>
  </si>
  <si>
    <t>South_BJP</t>
  </si>
  <si>
    <t>South_DMK</t>
  </si>
  <si>
    <t>South_INC</t>
  </si>
  <si>
    <t>Central_DMDK</t>
  </si>
  <si>
    <t>Central_TVK</t>
  </si>
  <si>
    <t>Chennai Metro_AIADMK</t>
  </si>
  <si>
    <t>Chennai Metro_TVK</t>
  </si>
  <si>
    <t>Delta_AMMK</t>
  </si>
  <si>
    <t>Delta_IUML</t>
  </si>
  <si>
    <t>Delta_TVK</t>
  </si>
  <si>
    <t>Kongu_TVK</t>
  </si>
  <si>
    <t>North_IUML</t>
  </si>
  <si>
    <t>North_TVK</t>
  </si>
  <si>
    <t>South_CPI(M)</t>
  </si>
  <si>
    <t>South_TVK</t>
  </si>
  <si>
    <t>Change</t>
  </si>
  <si>
    <t>Party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</si>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</sst>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0" fontId="0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2A0F4FE0-B2E2-4ED1-86F9-9E4575890DC6}" autoFormatId="16" applyNumberFormats="0" applyBorderFormats="0" applyFontFormats="0" applyPatternFormats="0" applyAlignmentFormats="0" applyWidthHeightFormats="0">
  <queryTableRefresh nextId="25" unboundColumnsRight="3">
    <queryTableFields count="24">
      <queryTableField id="1" name="constituency" tableColumnId="1"/>
      <queryTableField id="2" name="ac_number" tableColumnId="2"/>
      <queryTableField id="3" name="winners 2021.candidate" tableColumnId="3"/>
      <queryTableField id="4" name="winners 2021.party" tableColumnId="4"/>
      <queryTableField id="5" name="winners 2021.votes" tableColumnId="5"/>
      <queryTableField id="6" name="winners 2026.candidate" tableColumnId="6"/>
      <queryTableField id="7" name="winners 2026.party" tableColumnId="7"/>
      <queryTableField id="8" name="winners 2026.votes" tableColumnId="8"/>
      <queryTableField id="9" name="district" tableColumnId="9"/>
      <queryTableField id="10" name="region" tableColumnId="10"/>
      <queryTableField id="11" name="reserved" tableColumnId="11"/>
      <queryTableField id="12" name="runner up 2021.candidate" tableColumnId="12"/>
      <queryTableField id="13" name="runner up 2021.party" tableColumnId="13"/>
      <queryTableField id="14" name="runner up 2021.votes" tableColumnId="14"/>
      <queryTableField id="15" name="runner up 2026.candidate" tableColumnId="15"/>
      <queryTableField id="16" name="runner up 2026.party" tableColumnId="16"/>
      <queryTableField id="17" name="runner up 2026.votes" tableColumnId="17"/>
      <queryTableField id="20" dataBound="0" tableColumnId="20"/>
      <queryTableField id="21" dataBound="0" tableColumnId="21"/>
      <queryTableField id="18" name="Total votes 2021.Sum of votes" tableColumnId="18"/>
      <queryTableField id="19" name="Total votes 2026.Sum of votes" tableColumnId="19"/>
      <queryTableField id="22" dataBound="0" tableColumnId="23"/>
      <queryTableField id="23" dataBound="0" tableColumnId="24"/>
      <queryTableField id="24" dataBound="0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3DF180E1-96D7-4809-8942-885D4D40F9FA}" autoFormatId="16" applyNumberFormats="0" applyBorderFormats="0" applyFontFormats="0" applyPatternFormats="0" applyAlignmentFormats="0" applyWidthHeightFormats="0">
  <queryTableRefresh nextId="7">
    <queryTableFields count="6">
      <queryTableField id="1" name="Helper_key" tableColumnId="1"/>
      <queryTableField id="2" name="Region" tableColumnId="2"/>
      <queryTableField id="3" name="Party" tableColumnId="3"/>
      <queryTableField id="4" name="Seats_2021" tableColumnId="4"/>
      <queryTableField id="5" name="Seats_2026" tableColumnId="5"/>
      <queryTableField id="6" name="Chang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0636A6-F201-4485-996D-07D5ED0C6758}" name="winners_21___26" displayName="winners_21___26" ref="A1:X235" tableType="queryTable" totalsRowShown="0">
  <autoFilter ref="A1:X235" xr:uid="{0A0636A6-F201-4485-996D-07D5ED0C6758}"/>
  <tableColumns count="24">
    <tableColumn id="1" xr3:uid="{86EF56BD-79EB-4C0D-8E91-8E5B75D97696}" uniqueName="1" name="constituency" queryTableFieldId="1" dataDxfId="19"/>
    <tableColumn id="2" xr3:uid="{438609DC-B105-426B-BEAD-3BF9408FF884}" uniqueName="2" name="ac_number" queryTableFieldId="2"/>
    <tableColumn id="3" xr3:uid="{945B2AEC-766A-4474-896C-7D7E43BA3566}" uniqueName="3" name="winners 2021.candidate" queryTableFieldId="3" dataDxfId="18"/>
    <tableColumn id="4" xr3:uid="{424E8066-1D8E-407A-ADC7-843DC33BCA86}" uniqueName="4" name="winners 2021.party" queryTableFieldId="4" dataDxfId="17"/>
    <tableColumn id="5" xr3:uid="{FC258199-2B42-4644-9A8B-6BFFD4544713}" uniqueName="5" name="winners 2021.votes" queryTableFieldId="5"/>
    <tableColumn id="6" xr3:uid="{E6128F2C-C40F-4037-8D75-B01A89ACE742}" uniqueName="6" name="winners 2026.candidate" queryTableFieldId="6" dataDxfId="16"/>
    <tableColumn id="7" xr3:uid="{CA77AEFD-E140-4889-9670-4FB587161D14}" uniqueName="7" name="winners 2026.party" queryTableFieldId="7" dataDxfId="15"/>
    <tableColumn id="8" xr3:uid="{80DBD636-4045-4B31-A6D2-40AD3A5AC1F2}" uniqueName="8" name="winners 2026.votes" queryTableFieldId="8"/>
    <tableColumn id="9" xr3:uid="{47A32BAC-A077-476E-8482-C28C4734654E}" uniqueName="9" name="district" queryTableFieldId="9" dataDxfId="14"/>
    <tableColumn id="10" xr3:uid="{0C26A382-84EC-4430-945E-95AFCB7C3537}" uniqueName="10" name="region" queryTableFieldId="10" dataDxfId="13"/>
    <tableColumn id="11" xr3:uid="{0D086D58-9DB9-4E74-A5E4-A9098FE29F60}" uniqueName="11" name="reserved" queryTableFieldId="11" dataDxfId="12"/>
    <tableColumn id="12" xr3:uid="{A0017EED-46F1-4EB6-B292-A39DD12BB503}" uniqueName="12" name="runner up 2021.candidate" queryTableFieldId="12" dataDxfId="11"/>
    <tableColumn id="13" xr3:uid="{B2B5259D-C76F-4B55-A235-78470FB1B662}" uniqueName="13" name="runner up 2021.party" queryTableFieldId="13" dataDxfId="10"/>
    <tableColumn id="14" xr3:uid="{8EE6A14D-DBE4-4E59-A1B3-7BB58E1F5EA9}" uniqueName="14" name="runner up 2021.votes" queryTableFieldId="14"/>
    <tableColumn id="15" xr3:uid="{7C62EFBC-877C-48F5-AD5A-94E8044E3EDF}" uniqueName="15" name="runner up 2026.candidate" queryTableFieldId="15" dataDxfId="9"/>
    <tableColumn id="16" xr3:uid="{9EB84581-DDF7-4CF2-A429-0FD527E46243}" uniqueName="16" name="runner up 2026.party" queryTableFieldId="16" dataDxfId="8"/>
    <tableColumn id="17" xr3:uid="{7A54146E-1F71-4549-8315-940A58F42296}" uniqueName="17" name="runner up 2026.votes" queryTableFieldId="17"/>
    <tableColumn id="20" xr3:uid="{3FE21CAE-84CA-449C-9D4C-7F4D2C727E47}" uniqueName="20" name="Margin votes 2021" queryTableFieldId="20" dataDxfId="7">
      <calculatedColumnFormula>winners_21___26[[#This Row],[winners 2021.votes]]-winners_21___26[[#This Row],[runner up 2021.votes]]</calculatedColumnFormula>
    </tableColumn>
    <tableColumn id="21" xr3:uid="{D63CEC58-A80E-4B16-9017-861D8E03096F}" uniqueName="21" name="Margin votes 2026" queryTableFieldId="21" dataDxfId="6">
      <calculatedColumnFormula>winners_21___26[[#This Row],[winners 2026.votes]]-winners_21___26[[#This Row],[runner up 2026.votes]]</calculatedColumnFormula>
    </tableColumn>
    <tableColumn id="18" xr3:uid="{7EB2A836-EA84-45B5-B2D0-D09EC6B05A27}" uniqueName="18" name="Total votes 2021.Sum of votes" queryTableFieldId="18"/>
    <tableColumn id="19" xr3:uid="{0845F1F2-60CC-4578-8681-370A58E84055}" uniqueName="19" name="Total votes 2026.Sum of votes" queryTableFieldId="19"/>
    <tableColumn id="23" xr3:uid="{5FB6ED85-4697-426F-8DF8-0BA4CE73F8D9}" uniqueName="23" name="Margin % 2021" queryTableFieldId="22" dataDxfId="5" dataCellStyle="Percent">
      <calculatedColumnFormula>winners_21___26[[#This Row],[Margin votes 2021]]/winners_21___26[[#This Row],[Total votes 2021.Sum of votes]]</calculatedColumnFormula>
    </tableColumn>
    <tableColumn id="24" xr3:uid="{2E3D80F4-003E-4815-BE54-986314E9B194}" uniqueName="24" name="Margin % 2026" queryTableFieldId="23" dataDxfId="4" dataCellStyle="Percent">
      <calculatedColumnFormula>(winners_21___26[[#This Row],[Margin votes 2026]]/winners_21___26[[#This Row],[Total votes 2026.Sum of votes]])*100</calculatedColumnFormula>
    </tableColumn>
    <tableColumn id="22" xr3:uid="{DCF941D3-C356-4F8B-8EB5-9641FD0D89F8}" uniqueName="22" name="Flipped" queryTableFieldId="24" dataDxfId="3">
      <calculatedColumnFormula>IF(winners_21___26[[#This Row],[winners 2021.party]]=winners_21___26[[#This Row],[winners 2026.party]],"Retained","Flipped")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4F1EB-0B09-4F9E-8CE8-B3578BF16D95}" name="Master_Seat_Compare__2_1" displayName="Master_Seat_Compare__2_1" ref="A1:F40" tableType="queryTable" totalsRowShown="0">
  <autoFilter ref="A1:F40" xr:uid="{44D4F1EB-0B09-4F9E-8CE8-B3578BF16D95}"/>
  <tableColumns count="6">
    <tableColumn id="1" xr3:uid="{24C5DB86-BDD4-4530-9536-DBF1BACB9962}" uniqueName="1" name="Helper_key" queryTableFieldId="1" dataDxfId="2"/>
    <tableColumn id="2" xr3:uid="{C1F86320-C962-4A5B-879F-8B5646309C22}" uniqueName="2" name="Region" queryTableFieldId="2" dataDxfId="1"/>
    <tableColumn id="3" xr3:uid="{7CF5AAED-D364-42C0-8401-BFD2928E8724}" uniqueName="3" name="Party" queryTableFieldId="3" dataDxfId="0"/>
    <tableColumn id="4" xr3:uid="{4AC61ED0-CB14-4235-956A-2B4106C453CE}" uniqueName="4" name="Seats_2021" queryTableFieldId="4"/>
    <tableColumn id="5" xr3:uid="{FA8B0E46-D149-4BA9-976E-F9094A943703}" uniqueName="5" name="Seats_2026" queryTableFieldId="5"/>
    <tableColumn id="6" xr3:uid="{31D25840-12F3-42C2-AEFE-FCD24B08133B}" uniqueName="6" name="Chang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C9F1-5A21-4930-96CE-FCBEF40096F0}">
  <dimension ref="A1:X235"/>
  <sheetViews>
    <sheetView tabSelected="1" workbookViewId="0">
      <selection activeCell="AA121" sqref="AA121"/>
    </sheetView>
  </sheetViews>
  <sheetFormatPr defaultRowHeight="14.4" x14ac:dyDescent="0.3"/>
  <cols>
    <col min="1" max="1" width="21.33203125" bestFit="1" customWidth="1"/>
    <col min="2" max="2" width="12.44140625" bestFit="1" customWidth="1"/>
    <col min="3" max="3" width="34.44140625" bestFit="1" customWidth="1"/>
    <col min="4" max="4" width="19" bestFit="1" customWidth="1"/>
    <col min="5" max="5" width="19.109375" bestFit="1" customWidth="1"/>
    <col min="6" max="6" width="32.6640625" bestFit="1" customWidth="1"/>
    <col min="7" max="7" width="19" bestFit="1" customWidth="1"/>
    <col min="8" max="8" width="19.109375" bestFit="1" customWidth="1"/>
    <col min="9" max="9" width="15.5546875" bestFit="1" customWidth="1"/>
    <col min="10" max="10" width="12.6640625" bestFit="1" customWidth="1"/>
    <col min="11" max="11" width="10.44140625" bestFit="1" customWidth="1"/>
    <col min="12" max="12" width="37" bestFit="1" customWidth="1"/>
    <col min="13" max="13" width="20.44140625" bestFit="1" customWidth="1"/>
    <col min="14" max="14" width="20.5546875" bestFit="1" customWidth="1"/>
    <col min="15" max="15" width="49" bestFit="1" customWidth="1"/>
    <col min="16" max="16" width="20.44140625" bestFit="1" customWidth="1"/>
    <col min="17" max="17" width="20.5546875" bestFit="1" customWidth="1"/>
    <col min="18" max="19" width="20.5546875" customWidth="1"/>
    <col min="20" max="21" width="27.88671875" bestFit="1" customWidth="1"/>
    <col min="22" max="22" width="15" style="2" bestFit="1" customWidth="1"/>
    <col min="23" max="23" width="15" style="3" bestFit="1" customWidth="1"/>
    <col min="24" max="24" width="10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731</v>
      </c>
      <c r="M1" t="s">
        <v>732</v>
      </c>
      <c r="N1" t="s">
        <v>733</v>
      </c>
      <c r="O1" t="s">
        <v>734</v>
      </c>
      <c r="P1" t="s">
        <v>735</v>
      </c>
      <c r="Q1" t="s">
        <v>736</v>
      </c>
      <c r="R1" t="s">
        <v>1196</v>
      </c>
      <c r="S1" t="s">
        <v>1197</v>
      </c>
      <c r="T1" t="s">
        <v>737</v>
      </c>
      <c r="U1" t="s">
        <v>738</v>
      </c>
      <c r="V1" s="2" t="s">
        <v>1198</v>
      </c>
      <c r="W1" s="3" t="s">
        <v>1199</v>
      </c>
      <c r="X1" t="s">
        <v>1200</v>
      </c>
    </row>
    <row r="2" spans="1:24" x14ac:dyDescent="0.3">
      <c r="A2" s="1" t="s">
        <v>11</v>
      </c>
      <c r="B2">
        <v>1</v>
      </c>
      <c r="C2" s="1" t="s">
        <v>12</v>
      </c>
      <c r="D2" s="1" t="s">
        <v>13</v>
      </c>
      <c r="E2">
        <v>126452</v>
      </c>
      <c r="F2" s="1" t="s">
        <v>14</v>
      </c>
      <c r="G2" s="1" t="s">
        <v>15</v>
      </c>
      <c r="H2">
        <v>94320</v>
      </c>
      <c r="I2" s="1" t="s">
        <v>16</v>
      </c>
      <c r="J2" s="1" t="s">
        <v>17</v>
      </c>
      <c r="K2" s="1" t="s">
        <v>18</v>
      </c>
      <c r="L2" s="1" t="s">
        <v>739</v>
      </c>
      <c r="M2" s="1" t="s">
        <v>198</v>
      </c>
      <c r="N2">
        <v>75514</v>
      </c>
      <c r="O2" s="1" t="s">
        <v>740</v>
      </c>
      <c r="P2" s="1" t="s">
        <v>27</v>
      </c>
      <c r="Q2">
        <v>66375</v>
      </c>
      <c r="R2">
        <f>winners_21___26[[#This Row],[winners 2021.votes]]-winners_21___26[[#This Row],[runner up 2021.votes]]</f>
        <v>50938</v>
      </c>
      <c r="S2">
        <f>winners_21___26[[#This Row],[winners 2026.votes]]-winners_21___26[[#This Row],[runner up 2026.votes]]</f>
        <v>27945</v>
      </c>
      <c r="T2">
        <v>222069</v>
      </c>
      <c r="U2">
        <v>232522</v>
      </c>
      <c r="V2" s="2">
        <f>winners_21___26[[#This Row],[Margin votes 2021]]/winners_21___26[[#This Row],[Total votes 2021.Sum of votes]]</f>
        <v>0.22937915692870234</v>
      </c>
      <c r="W2" s="3">
        <f>(winners_21___26[[#This Row],[Margin votes 2026]]/winners_21___26[[#This Row],[Total votes 2026.Sum of votes]])*100</f>
        <v>12.01821763101986</v>
      </c>
      <c r="X2" t="str">
        <f>IF(winners_21___26[[#This Row],[winners 2021.party]]=winners_21___26[[#This Row],[winners 2026.party]],"Retained","Flipped")</f>
        <v>Flipped</v>
      </c>
    </row>
    <row r="3" spans="1:24" x14ac:dyDescent="0.3">
      <c r="A3" s="1" t="s">
        <v>19</v>
      </c>
      <c r="B3">
        <v>2</v>
      </c>
      <c r="C3" s="1" t="s">
        <v>20</v>
      </c>
      <c r="D3" s="1" t="s">
        <v>21</v>
      </c>
      <c r="E3">
        <v>94528</v>
      </c>
      <c r="F3" s="1" t="s">
        <v>22</v>
      </c>
      <c r="G3" s="1" t="s">
        <v>15</v>
      </c>
      <c r="H3">
        <v>110439</v>
      </c>
      <c r="I3" s="1" t="s">
        <v>16</v>
      </c>
      <c r="J3" s="1" t="s">
        <v>17</v>
      </c>
      <c r="K3" s="1" t="s">
        <v>23</v>
      </c>
      <c r="L3" s="1" t="s">
        <v>741</v>
      </c>
      <c r="M3" s="1" t="s">
        <v>27</v>
      </c>
      <c r="N3">
        <v>84839</v>
      </c>
      <c r="O3" s="1" t="s">
        <v>742</v>
      </c>
      <c r="P3" s="1" t="s">
        <v>21</v>
      </c>
      <c r="Q3">
        <v>54671</v>
      </c>
      <c r="R3">
        <f>winners_21___26[[#This Row],[winners 2021.votes]]-winners_21___26[[#This Row],[runner up 2021.votes]]</f>
        <v>9689</v>
      </c>
      <c r="S3">
        <f>winners_21___26[[#This Row],[winners 2026.votes]]-winners_21___26[[#This Row],[runner up 2026.votes]]</f>
        <v>55768</v>
      </c>
      <c r="T3">
        <v>210354</v>
      </c>
      <c r="U3">
        <v>226819</v>
      </c>
      <c r="V3" s="2">
        <f>winners_21___26[[#This Row],[Margin votes 2021]]/winners_21___26[[#This Row],[Total votes 2021.Sum of votes]]</f>
        <v>4.6060450478716833E-2</v>
      </c>
      <c r="W3" s="3">
        <f>(winners_21___26[[#This Row],[Margin votes 2026]]/winners_21___26[[#This Row],[Total votes 2026.Sum of votes]])*100</f>
        <v>24.58700549777576</v>
      </c>
      <c r="X3" t="str">
        <f>IF(winners_21___26[[#This Row],[winners 2021.party]]=winners_21___26[[#This Row],[winners 2026.party]],"Retained","Flipped")</f>
        <v>Flipped</v>
      </c>
    </row>
    <row r="4" spans="1:24" x14ac:dyDescent="0.3">
      <c r="A4" s="1" t="s">
        <v>24</v>
      </c>
      <c r="B4">
        <v>3</v>
      </c>
      <c r="C4" s="1" t="s">
        <v>25</v>
      </c>
      <c r="D4" s="1" t="s">
        <v>13</v>
      </c>
      <c r="E4">
        <v>120314</v>
      </c>
      <c r="F4" s="1" t="s">
        <v>26</v>
      </c>
      <c r="G4" s="1" t="s">
        <v>27</v>
      </c>
      <c r="H4">
        <v>89169</v>
      </c>
      <c r="I4" s="1" t="s">
        <v>16</v>
      </c>
      <c r="J4" s="1" t="s">
        <v>17</v>
      </c>
      <c r="K4" s="1" t="s">
        <v>18</v>
      </c>
      <c r="L4" s="1" t="s">
        <v>743</v>
      </c>
      <c r="M4" s="1" t="s">
        <v>27</v>
      </c>
      <c r="N4">
        <v>91061</v>
      </c>
      <c r="O4" s="1" t="s">
        <v>744</v>
      </c>
      <c r="P4" s="1" t="s">
        <v>15</v>
      </c>
      <c r="Q4">
        <v>83376</v>
      </c>
      <c r="R4">
        <f>winners_21___26[[#This Row],[winners 2021.votes]]-winners_21___26[[#This Row],[runner up 2021.votes]]</f>
        <v>29253</v>
      </c>
      <c r="S4">
        <f>winners_21___26[[#This Row],[winners 2026.votes]]-winners_21___26[[#This Row],[runner up 2026.votes]]</f>
        <v>5793</v>
      </c>
      <c r="T4">
        <v>232624</v>
      </c>
      <c r="U4">
        <v>238798</v>
      </c>
      <c r="V4" s="2">
        <f>winners_21___26[[#This Row],[Margin votes 2021]]/winners_21___26[[#This Row],[Total votes 2021.Sum of votes]]</f>
        <v>0.12575228695233509</v>
      </c>
      <c r="W4" s="3">
        <f>(winners_21___26[[#This Row],[Margin votes 2026]]/winners_21___26[[#This Row],[Total votes 2026.Sum of votes]])*100</f>
        <v>2.4258997144029681</v>
      </c>
      <c r="X4" t="str">
        <f>IF(winners_21___26[[#This Row],[winners 2021.party]]=winners_21___26[[#This Row],[winners 2026.party]],"Retained","Flipped")</f>
        <v>Flipped</v>
      </c>
    </row>
    <row r="5" spans="1:24" x14ac:dyDescent="0.3">
      <c r="A5" s="1" t="s">
        <v>28</v>
      </c>
      <c r="B5">
        <v>4</v>
      </c>
      <c r="C5" s="1" t="s">
        <v>29</v>
      </c>
      <c r="D5" s="1" t="s">
        <v>13</v>
      </c>
      <c r="E5">
        <v>107709</v>
      </c>
      <c r="F5" s="1" t="s">
        <v>30</v>
      </c>
      <c r="G5" s="1" t="s">
        <v>15</v>
      </c>
      <c r="H5">
        <v>92190</v>
      </c>
      <c r="I5" s="1" t="s">
        <v>16</v>
      </c>
      <c r="J5" s="1" t="s">
        <v>17</v>
      </c>
      <c r="K5" s="1" t="s">
        <v>18</v>
      </c>
      <c r="L5" s="1" t="s">
        <v>745</v>
      </c>
      <c r="M5" s="1" t="s">
        <v>27</v>
      </c>
      <c r="N5">
        <v>85008</v>
      </c>
      <c r="O5" s="1" t="s">
        <v>746</v>
      </c>
      <c r="P5" s="1" t="s">
        <v>13</v>
      </c>
      <c r="Q5">
        <v>67430</v>
      </c>
      <c r="R5">
        <f>winners_21___26[[#This Row],[winners 2021.votes]]-winners_21___26[[#This Row],[runner up 2021.votes]]</f>
        <v>22701</v>
      </c>
      <c r="S5">
        <f>winners_21___26[[#This Row],[winners 2026.votes]]-winners_21___26[[#This Row],[runner up 2026.votes]]</f>
        <v>24760</v>
      </c>
      <c r="T5">
        <v>214243</v>
      </c>
      <c r="U5">
        <v>226428</v>
      </c>
      <c r="V5" s="2">
        <f>winners_21___26[[#This Row],[Margin votes 2021]]/winners_21___26[[#This Row],[Total votes 2021.Sum of votes]]</f>
        <v>0.10595912118482284</v>
      </c>
      <c r="W5" s="3">
        <f>(winners_21___26[[#This Row],[Margin votes 2026]]/winners_21___26[[#This Row],[Total votes 2026.Sum of votes]])*100</f>
        <v>10.935043369194622</v>
      </c>
      <c r="X5" t="str">
        <f>IF(winners_21___26[[#This Row],[winners 2021.party]]=winners_21___26[[#This Row],[winners 2026.party]],"Retained","Flipped")</f>
        <v>Flipped</v>
      </c>
    </row>
    <row r="6" spans="1:24" x14ac:dyDescent="0.3">
      <c r="A6" s="1" t="s">
        <v>31</v>
      </c>
      <c r="B6">
        <v>5</v>
      </c>
      <c r="C6" s="1" t="s">
        <v>32</v>
      </c>
      <c r="D6" s="1" t="s">
        <v>13</v>
      </c>
      <c r="E6">
        <v>149578</v>
      </c>
      <c r="F6" s="1" t="s">
        <v>33</v>
      </c>
      <c r="G6" s="1" t="s">
        <v>15</v>
      </c>
      <c r="H6">
        <v>161309</v>
      </c>
      <c r="I6" s="1" t="s">
        <v>16</v>
      </c>
      <c r="J6" s="1" t="s">
        <v>17</v>
      </c>
      <c r="K6" s="1" t="s">
        <v>23</v>
      </c>
      <c r="L6" s="1" t="s">
        <v>747</v>
      </c>
      <c r="M6" s="1" t="s">
        <v>198</v>
      </c>
      <c r="N6">
        <v>55468</v>
      </c>
      <c r="O6" s="1" t="s">
        <v>748</v>
      </c>
      <c r="P6" s="1" t="s">
        <v>13</v>
      </c>
      <c r="Q6">
        <v>88569</v>
      </c>
      <c r="R6">
        <f>winners_21___26[[#This Row],[winners 2021.votes]]-winners_21___26[[#This Row],[runner up 2021.votes]]</f>
        <v>94110</v>
      </c>
      <c r="S6">
        <f>winners_21___26[[#This Row],[winners 2026.votes]]-winners_21___26[[#This Row],[runner up 2026.votes]]</f>
        <v>72740</v>
      </c>
      <c r="T6">
        <v>263736</v>
      </c>
      <c r="U6">
        <v>308894</v>
      </c>
      <c r="V6" s="2">
        <f>winners_21___26[[#This Row],[Margin votes 2021]]/winners_21___26[[#This Row],[Total votes 2021.Sum of votes]]</f>
        <v>0.35683410683410682</v>
      </c>
      <c r="W6" s="3">
        <f>(winners_21___26[[#This Row],[Margin votes 2026]]/winners_21___26[[#This Row],[Total votes 2026.Sum of votes]])*100</f>
        <v>23.548531211354057</v>
      </c>
      <c r="X6" t="str">
        <f>IF(winners_21___26[[#This Row],[winners 2021.party]]=winners_21___26[[#This Row],[winners 2026.party]],"Retained","Flipped")</f>
        <v>Flipped</v>
      </c>
    </row>
    <row r="7" spans="1:24" x14ac:dyDescent="0.3">
      <c r="A7" s="1" t="s">
        <v>34</v>
      </c>
      <c r="B7">
        <v>6</v>
      </c>
      <c r="C7" s="1" t="s">
        <v>35</v>
      </c>
      <c r="D7" s="1" t="s">
        <v>13</v>
      </c>
      <c r="E7">
        <v>150287</v>
      </c>
      <c r="F7" s="1" t="s">
        <v>36</v>
      </c>
      <c r="G7" s="1" t="s">
        <v>15</v>
      </c>
      <c r="H7">
        <v>180384</v>
      </c>
      <c r="I7" s="1" t="s">
        <v>16</v>
      </c>
      <c r="J7" s="1" t="s">
        <v>17</v>
      </c>
      <c r="K7" s="1" t="s">
        <v>18</v>
      </c>
      <c r="L7" s="1" t="s">
        <v>749</v>
      </c>
      <c r="M7" s="1" t="s">
        <v>27</v>
      </c>
      <c r="N7">
        <v>95012</v>
      </c>
      <c r="O7" s="1" t="s">
        <v>750</v>
      </c>
      <c r="P7" s="1" t="s">
        <v>13</v>
      </c>
      <c r="Q7">
        <v>104073</v>
      </c>
      <c r="R7">
        <f>winners_21___26[[#This Row],[winners 2021.votes]]-winners_21___26[[#This Row],[runner up 2021.votes]]</f>
        <v>55275</v>
      </c>
      <c r="S7">
        <f>winners_21___26[[#This Row],[winners 2026.votes]]-winners_21___26[[#This Row],[runner up 2026.votes]]</f>
        <v>76311</v>
      </c>
      <c r="T7">
        <v>300927</v>
      </c>
      <c r="U7">
        <v>346005</v>
      </c>
      <c r="V7" s="2">
        <f>winners_21___26[[#This Row],[Margin votes 2021]]/winners_21___26[[#This Row],[Total votes 2021.Sum of votes]]</f>
        <v>0.18368242131812698</v>
      </c>
      <c r="W7" s="3">
        <f>(winners_21___26[[#This Row],[Margin votes 2026]]/winners_21___26[[#This Row],[Total votes 2026.Sum of votes]])*100</f>
        <v>22.054883599947978</v>
      </c>
      <c r="X7" t="str">
        <f>IF(winners_21___26[[#This Row],[winners 2021.party]]=winners_21___26[[#This Row],[winners 2026.party]],"Retained","Flipped")</f>
        <v>Flipped</v>
      </c>
    </row>
    <row r="8" spans="1:24" x14ac:dyDescent="0.3">
      <c r="A8" s="1" t="s">
        <v>37</v>
      </c>
      <c r="B8">
        <v>7</v>
      </c>
      <c r="C8" s="1" t="s">
        <v>38</v>
      </c>
      <c r="D8" s="1" t="s">
        <v>13</v>
      </c>
      <c r="E8">
        <v>121298</v>
      </c>
      <c r="F8" s="1" t="s">
        <v>39</v>
      </c>
      <c r="G8" s="1" t="s">
        <v>15</v>
      </c>
      <c r="H8">
        <v>141725</v>
      </c>
      <c r="I8" s="1" t="s">
        <v>16</v>
      </c>
      <c r="J8" s="1" t="s">
        <v>17</v>
      </c>
      <c r="K8" s="1" t="s">
        <v>18</v>
      </c>
      <c r="L8" s="1" t="s">
        <v>751</v>
      </c>
      <c r="M8" s="1" t="s">
        <v>27</v>
      </c>
      <c r="N8">
        <v>89577</v>
      </c>
      <c r="O8" s="1" t="s">
        <v>752</v>
      </c>
      <c r="P8" s="1" t="s">
        <v>13</v>
      </c>
      <c r="Q8">
        <v>80216</v>
      </c>
      <c r="R8">
        <f>winners_21___26[[#This Row],[winners 2021.votes]]-winners_21___26[[#This Row],[runner up 2021.votes]]</f>
        <v>31721</v>
      </c>
      <c r="S8">
        <f>winners_21___26[[#This Row],[winners 2026.votes]]-winners_21___26[[#This Row],[runner up 2026.votes]]</f>
        <v>61509</v>
      </c>
      <c r="T8">
        <v>273870</v>
      </c>
      <c r="U8">
        <v>293692</v>
      </c>
      <c r="V8" s="2">
        <f>winners_21___26[[#This Row],[Margin votes 2021]]/winners_21___26[[#This Row],[Total votes 2021.Sum of votes]]</f>
        <v>0.11582502647241393</v>
      </c>
      <c r="W8" s="3">
        <f>(winners_21___26[[#This Row],[Margin votes 2026]]/winners_21___26[[#This Row],[Total votes 2026.Sum of votes]])*100</f>
        <v>20.943369243969872</v>
      </c>
      <c r="X8" t="str">
        <f>IF(winners_21___26[[#This Row],[winners 2021.party]]=winners_21___26[[#This Row],[winners 2026.party]],"Retained","Flipped")</f>
        <v>Flipped</v>
      </c>
    </row>
    <row r="9" spans="1:24" x14ac:dyDescent="0.3">
      <c r="A9" s="1" t="s">
        <v>40</v>
      </c>
      <c r="B9">
        <v>8</v>
      </c>
      <c r="C9" s="1" t="s">
        <v>41</v>
      </c>
      <c r="D9" s="1" t="s">
        <v>13</v>
      </c>
      <c r="E9">
        <v>114554</v>
      </c>
      <c r="F9" s="1" t="s">
        <v>42</v>
      </c>
      <c r="G9" s="1" t="s">
        <v>15</v>
      </c>
      <c r="H9">
        <v>133339</v>
      </c>
      <c r="I9" s="1" t="s">
        <v>16</v>
      </c>
      <c r="J9" s="1" t="s">
        <v>17</v>
      </c>
      <c r="K9" s="1" t="s">
        <v>18</v>
      </c>
      <c r="L9" s="1" t="s">
        <v>753</v>
      </c>
      <c r="M9" s="1" t="s">
        <v>27</v>
      </c>
      <c r="N9">
        <v>72408</v>
      </c>
      <c r="O9" s="1" t="s">
        <v>754</v>
      </c>
      <c r="P9" s="1" t="s">
        <v>13</v>
      </c>
      <c r="Q9">
        <v>74558</v>
      </c>
      <c r="R9">
        <f>winners_21___26[[#This Row],[winners 2021.votes]]-winners_21___26[[#This Row],[runner up 2021.votes]]</f>
        <v>42146</v>
      </c>
      <c r="S9">
        <f>winners_21___26[[#This Row],[winners 2026.votes]]-winners_21___26[[#This Row],[runner up 2026.votes]]</f>
        <v>58781</v>
      </c>
      <c r="T9">
        <v>240299</v>
      </c>
      <c r="U9">
        <v>259986</v>
      </c>
      <c r="V9" s="2">
        <f>winners_21___26[[#This Row],[Margin votes 2021]]/winners_21___26[[#This Row],[Total votes 2021.Sum of votes]]</f>
        <v>0.1753898268407276</v>
      </c>
      <c r="W9" s="3">
        <f>(winners_21___26[[#This Row],[Margin votes 2026]]/winners_21___26[[#This Row],[Total votes 2026.Sum of votes]])*100</f>
        <v>22.609294346618665</v>
      </c>
      <c r="X9" t="str">
        <f>IF(winners_21___26[[#This Row],[winners 2021.party]]=winners_21___26[[#This Row],[winners 2026.party]],"Retained","Flipped")</f>
        <v>Flipped</v>
      </c>
    </row>
    <row r="10" spans="1:24" x14ac:dyDescent="0.3">
      <c r="A10" s="1" t="s">
        <v>43</v>
      </c>
      <c r="B10">
        <v>9</v>
      </c>
      <c r="C10" s="1" t="s">
        <v>44</v>
      </c>
      <c r="D10" s="1" t="s">
        <v>13</v>
      </c>
      <c r="E10">
        <v>151485</v>
      </c>
      <c r="F10" s="1" t="s">
        <v>45</v>
      </c>
      <c r="G10" s="1" t="s">
        <v>15</v>
      </c>
      <c r="H10">
        <v>190462</v>
      </c>
      <c r="I10" s="1" t="s">
        <v>16</v>
      </c>
      <c r="J10" s="1" t="s">
        <v>17</v>
      </c>
      <c r="K10" s="1" t="s">
        <v>18</v>
      </c>
      <c r="L10" s="1" t="s">
        <v>755</v>
      </c>
      <c r="M10" s="1" t="s">
        <v>27</v>
      </c>
      <c r="N10">
        <v>94414</v>
      </c>
      <c r="O10" s="1" t="s">
        <v>756</v>
      </c>
      <c r="P10" s="1" t="s">
        <v>13</v>
      </c>
      <c r="Q10">
        <v>95477</v>
      </c>
      <c r="R10">
        <f>winners_21___26[[#This Row],[winners 2021.votes]]-winners_21___26[[#This Row],[runner up 2021.votes]]</f>
        <v>57071</v>
      </c>
      <c r="S10">
        <f>winners_21___26[[#This Row],[winners 2026.votes]]-winners_21___26[[#This Row],[runner up 2026.votes]]</f>
        <v>94985</v>
      </c>
      <c r="T10">
        <v>302700</v>
      </c>
      <c r="U10">
        <v>361998</v>
      </c>
      <c r="V10" s="2">
        <f>winners_21___26[[#This Row],[Margin votes 2021]]/winners_21___26[[#This Row],[Total votes 2021.Sum of votes]]</f>
        <v>0.18853980839114634</v>
      </c>
      <c r="W10" s="3">
        <f>(winners_21___26[[#This Row],[Margin votes 2026]]/winners_21___26[[#This Row],[Total votes 2026.Sum of votes]])*100</f>
        <v>26.239095243620131</v>
      </c>
      <c r="X10" t="str">
        <f>IF(winners_21___26[[#This Row],[winners 2021.party]]=winners_21___26[[#This Row],[winners 2026.party]],"Retained","Flipped")</f>
        <v>Flipped</v>
      </c>
    </row>
    <row r="11" spans="1:24" x14ac:dyDescent="0.3">
      <c r="A11" s="1" t="s">
        <v>46</v>
      </c>
      <c r="B11">
        <v>10</v>
      </c>
      <c r="C11" s="1" t="s">
        <v>47</v>
      </c>
      <c r="D11" s="1" t="s">
        <v>13</v>
      </c>
      <c r="E11">
        <v>88185</v>
      </c>
      <c r="F11" s="1" t="s">
        <v>48</v>
      </c>
      <c r="G11" s="1" t="s">
        <v>15</v>
      </c>
      <c r="H11">
        <v>110067</v>
      </c>
      <c r="I11" s="1" t="s">
        <v>16</v>
      </c>
      <c r="J11" s="1" t="s">
        <v>17</v>
      </c>
      <c r="K11" s="1" t="s">
        <v>18</v>
      </c>
      <c r="L11" s="1" t="s">
        <v>757</v>
      </c>
      <c r="M11" s="1" t="s">
        <v>27</v>
      </c>
      <c r="N11">
        <v>50524</v>
      </c>
      <c r="O11" s="1" t="s">
        <v>758</v>
      </c>
      <c r="P11" s="1" t="s">
        <v>520</v>
      </c>
      <c r="Q11">
        <v>56503</v>
      </c>
      <c r="R11">
        <f>winners_21___26[[#This Row],[winners 2021.votes]]-winners_21___26[[#This Row],[runner up 2021.votes]]</f>
        <v>37661</v>
      </c>
      <c r="S11">
        <f>winners_21___26[[#This Row],[winners 2026.votes]]-winners_21___26[[#This Row],[runner up 2026.votes]]</f>
        <v>53564</v>
      </c>
      <c r="T11">
        <v>199996</v>
      </c>
      <c r="U11">
        <v>207088</v>
      </c>
      <c r="V11" s="2">
        <f>winners_21___26[[#This Row],[Margin votes 2021]]/winners_21___26[[#This Row],[Total votes 2021.Sum of votes]]</f>
        <v>0.18830876617532349</v>
      </c>
      <c r="W11" s="3">
        <f>(winners_21___26[[#This Row],[Margin votes 2026]]/winners_21___26[[#This Row],[Total votes 2026.Sum of votes]])*100</f>
        <v>25.865332612222826</v>
      </c>
      <c r="X11" t="str">
        <f>IF(winners_21___26[[#This Row],[winners 2021.party]]=winners_21___26[[#This Row],[winners 2026.party]],"Retained","Flipped")</f>
        <v>Flipped</v>
      </c>
    </row>
    <row r="12" spans="1:24" x14ac:dyDescent="0.3">
      <c r="A12" s="1" t="s">
        <v>49</v>
      </c>
      <c r="B12">
        <v>11</v>
      </c>
      <c r="C12" s="1" t="s">
        <v>50</v>
      </c>
      <c r="D12" s="1" t="s">
        <v>13</v>
      </c>
      <c r="E12">
        <v>95763</v>
      </c>
      <c r="F12" s="1" t="s">
        <v>51</v>
      </c>
      <c r="G12" s="1" t="s">
        <v>15</v>
      </c>
      <c r="H12">
        <v>97800</v>
      </c>
      <c r="I12" s="1" t="s">
        <v>52</v>
      </c>
      <c r="J12" s="1" t="s">
        <v>17</v>
      </c>
      <c r="K12" s="1" t="s">
        <v>18</v>
      </c>
      <c r="L12" s="1" t="s">
        <v>759</v>
      </c>
      <c r="M12" s="1" t="s">
        <v>27</v>
      </c>
      <c r="N12">
        <v>53284</v>
      </c>
      <c r="O12" s="1" t="s">
        <v>760</v>
      </c>
      <c r="P12" s="1" t="s">
        <v>13</v>
      </c>
      <c r="Q12">
        <v>48132</v>
      </c>
      <c r="R12">
        <f>winners_21___26[[#This Row],[winners 2021.votes]]-winners_21___26[[#This Row],[runner up 2021.votes]]</f>
        <v>42479</v>
      </c>
      <c r="S12">
        <f>winners_21___26[[#This Row],[winners 2026.votes]]-winners_21___26[[#This Row],[runner up 2026.votes]]</f>
        <v>49668</v>
      </c>
      <c r="T12">
        <v>187027</v>
      </c>
      <c r="U12">
        <v>181206</v>
      </c>
      <c r="V12" s="2">
        <f>winners_21___26[[#This Row],[Margin votes 2021]]/winners_21___26[[#This Row],[Total votes 2021.Sum of votes]]</f>
        <v>0.2271276339779818</v>
      </c>
      <c r="W12" s="3">
        <f>(winners_21___26[[#This Row],[Margin votes 2026]]/winners_21___26[[#This Row],[Total votes 2026.Sum of votes]])*100</f>
        <v>27.409688420913213</v>
      </c>
      <c r="X12" t="str">
        <f>IF(winners_21___26[[#This Row],[winners 2021.party]]=winners_21___26[[#This Row],[winners 2026.party]],"Retained","Flipped")</f>
        <v>Flipped</v>
      </c>
    </row>
    <row r="13" spans="1:24" x14ac:dyDescent="0.3">
      <c r="A13" s="1" t="s">
        <v>53</v>
      </c>
      <c r="B13">
        <v>12</v>
      </c>
      <c r="C13" s="1" t="s">
        <v>54</v>
      </c>
      <c r="D13" s="1" t="s">
        <v>13</v>
      </c>
      <c r="E13">
        <v>105267</v>
      </c>
      <c r="F13" s="1" t="s">
        <v>55</v>
      </c>
      <c r="G13" s="1" t="s">
        <v>15</v>
      </c>
      <c r="H13">
        <v>120365</v>
      </c>
      <c r="I13" s="1" t="s">
        <v>52</v>
      </c>
      <c r="J13" s="1" t="s">
        <v>17</v>
      </c>
      <c r="K13" s="1" t="s">
        <v>18</v>
      </c>
      <c r="L13" s="1" t="s">
        <v>761</v>
      </c>
      <c r="M13" s="1" t="s">
        <v>27</v>
      </c>
      <c r="N13">
        <v>50291</v>
      </c>
      <c r="O13" s="1" t="s">
        <v>762</v>
      </c>
      <c r="P13" s="1" t="s">
        <v>13</v>
      </c>
      <c r="Q13">
        <v>66650</v>
      </c>
      <c r="R13">
        <f>winners_21___26[[#This Row],[winners 2021.votes]]-winners_21___26[[#This Row],[runner up 2021.votes]]</f>
        <v>54976</v>
      </c>
      <c r="S13">
        <f>winners_21___26[[#This Row],[winners 2026.votes]]-winners_21___26[[#This Row],[runner up 2026.votes]]</f>
        <v>53715</v>
      </c>
      <c r="T13">
        <v>200387</v>
      </c>
      <c r="U13">
        <v>204384</v>
      </c>
      <c r="V13" s="2">
        <f>winners_21___26[[#This Row],[Margin votes 2021]]/winners_21___26[[#This Row],[Total votes 2021.Sum of votes]]</f>
        <v>0.27434913442488784</v>
      </c>
      <c r="W13" s="3">
        <f>(winners_21___26[[#This Row],[Margin votes 2026]]/winners_21___26[[#This Row],[Total votes 2026.Sum of votes]])*100</f>
        <v>26.281411460779708</v>
      </c>
      <c r="X13" t="str">
        <f>IF(winners_21___26[[#This Row],[winners 2021.party]]=winners_21___26[[#This Row],[winners 2026.party]],"Retained","Flipped")</f>
        <v>Flipped</v>
      </c>
    </row>
    <row r="14" spans="1:24" x14ac:dyDescent="0.3">
      <c r="A14" s="1" t="s">
        <v>56</v>
      </c>
      <c r="B14">
        <v>13</v>
      </c>
      <c r="C14" s="1" t="s">
        <v>57</v>
      </c>
      <c r="D14" s="1" t="s">
        <v>13</v>
      </c>
      <c r="E14">
        <v>105522</v>
      </c>
      <c r="F14" s="1" t="s">
        <v>58</v>
      </c>
      <c r="G14" s="1" t="s">
        <v>15</v>
      </c>
      <c r="H14">
        <v>82997</v>
      </c>
      <c r="I14" s="1" t="s">
        <v>52</v>
      </c>
      <c r="J14" s="1" t="s">
        <v>17</v>
      </c>
      <c r="K14" s="1" t="s">
        <v>18</v>
      </c>
      <c r="L14" s="1" t="s">
        <v>763</v>
      </c>
      <c r="M14" s="1" t="s">
        <v>27</v>
      </c>
      <c r="N14">
        <v>35138</v>
      </c>
      <c r="O14" s="1" t="s">
        <v>764</v>
      </c>
      <c r="P14" s="1" t="s">
        <v>13</v>
      </c>
      <c r="Q14">
        <v>74202</v>
      </c>
      <c r="R14">
        <f>winners_21___26[[#This Row],[winners 2021.votes]]-winners_21___26[[#This Row],[runner up 2021.votes]]</f>
        <v>70384</v>
      </c>
      <c r="S14">
        <f>winners_21___26[[#This Row],[winners 2026.votes]]-winners_21___26[[#This Row],[runner up 2026.votes]]</f>
        <v>8795</v>
      </c>
      <c r="T14">
        <v>173388</v>
      </c>
      <c r="U14">
        <v>184051</v>
      </c>
      <c r="V14" s="2">
        <f>winners_21___26[[#This Row],[Margin votes 2021]]/winners_21___26[[#This Row],[Total votes 2021.Sum of votes]]</f>
        <v>0.405933513276582</v>
      </c>
      <c r="W14" s="3">
        <f>(winners_21___26[[#This Row],[Margin votes 2026]]/winners_21___26[[#This Row],[Total votes 2026.Sum of votes]])*100</f>
        <v>4.7785668102862795</v>
      </c>
      <c r="X14" t="str">
        <f>IF(winners_21___26[[#This Row],[winners 2021.party]]=winners_21___26[[#This Row],[winners 2026.party]],"Retained","Flipped")</f>
        <v>Flipped</v>
      </c>
    </row>
    <row r="15" spans="1:24" x14ac:dyDescent="0.3">
      <c r="A15" s="1" t="s">
        <v>59</v>
      </c>
      <c r="B15">
        <v>14</v>
      </c>
      <c r="C15" s="1" t="s">
        <v>60</v>
      </c>
      <c r="D15" s="1" t="s">
        <v>13</v>
      </c>
      <c r="E15">
        <v>76127</v>
      </c>
      <c r="F15" s="1" t="s">
        <v>61</v>
      </c>
      <c r="G15" s="1" t="s">
        <v>15</v>
      </c>
      <c r="H15">
        <v>66445</v>
      </c>
      <c r="I15" s="1" t="s">
        <v>52</v>
      </c>
      <c r="J15" s="1" t="s">
        <v>17</v>
      </c>
      <c r="K15" s="1" t="s">
        <v>18</v>
      </c>
      <c r="L15" s="1" t="s">
        <v>765</v>
      </c>
      <c r="M15" s="1" t="s">
        <v>27</v>
      </c>
      <c r="N15">
        <v>38890</v>
      </c>
      <c r="O15" s="1" t="s">
        <v>766</v>
      </c>
      <c r="P15" s="1" t="s">
        <v>13</v>
      </c>
      <c r="Q15">
        <v>49143</v>
      </c>
      <c r="R15">
        <f>winners_21___26[[#This Row],[winners 2021.votes]]-winners_21___26[[#This Row],[runner up 2021.votes]]</f>
        <v>37237</v>
      </c>
      <c r="S15">
        <f>winners_21___26[[#This Row],[winners 2026.votes]]-winners_21___26[[#This Row],[runner up 2026.votes]]</f>
        <v>17302</v>
      </c>
      <c r="T15">
        <v>144092</v>
      </c>
      <c r="U15">
        <v>141452</v>
      </c>
      <c r="V15" s="2">
        <f>winners_21___26[[#This Row],[Margin votes 2021]]/winners_21___26[[#This Row],[Total votes 2021.Sum of votes]]</f>
        <v>0.25842517280626265</v>
      </c>
      <c r="W15" s="3">
        <f>(winners_21___26[[#This Row],[Margin votes 2026]]/winners_21___26[[#This Row],[Total votes 2026.Sum of votes]])*100</f>
        <v>12.231711110482708</v>
      </c>
      <c r="X15" t="str">
        <f>IF(winners_21___26[[#This Row],[winners 2021.party]]=winners_21___26[[#This Row],[winners 2026.party]],"Retained","Flipped")</f>
        <v>Flipped</v>
      </c>
    </row>
    <row r="16" spans="1:24" x14ac:dyDescent="0.3">
      <c r="A16" s="1" t="s">
        <v>62</v>
      </c>
      <c r="B16">
        <v>15</v>
      </c>
      <c r="C16" s="1" t="s">
        <v>63</v>
      </c>
      <c r="D16" s="1" t="s">
        <v>13</v>
      </c>
      <c r="E16">
        <v>81727</v>
      </c>
      <c r="F16" s="1" t="s">
        <v>64</v>
      </c>
      <c r="G16" s="1" t="s">
        <v>15</v>
      </c>
      <c r="H16">
        <v>69125</v>
      </c>
      <c r="I16" s="1" t="s">
        <v>52</v>
      </c>
      <c r="J16" s="1" t="s">
        <v>17</v>
      </c>
      <c r="K16" s="1" t="s">
        <v>23</v>
      </c>
      <c r="L16" s="1" t="s">
        <v>767</v>
      </c>
      <c r="M16" s="1" t="s">
        <v>27</v>
      </c>
      <c r="N16">
        <v>26714</v>
      </c>
      <c r="O16" s="1" t="s">
        <v>768</v>
      </c>
      <c r="P16" s="1" t="s">
        <v>13</v>
      </c>
      <c r="Q16">
        <v>46792</v>
      </c>
      <c r="R16">
        <f>winners_21___26[[#This Row],[winners 2021.votes]]-winners_21___26[[#This Row],[runner up 2021.votes]]</f>
        <v>55013</v>
      </c>
      <c r="S16">
        <f>winners_21___26[[#This Row],[winners 2026.votes]]-winners_21___26[[#This Row],[runner up 2026.votes]]</f>
        <v>22333</v>
      </c>
      <c r="T16">
        <v>133696</v>
      </c>
      <c r="U16">
        <v>143903</v>
      </c>
      <c r="V16" s="2">
        <f>winners_21___26[[#This Row],[Margin votes 2021]]/winners_21___26[[#This Row],[Total votes 2021.Sum of votes]]</f>
        <v>0.41147827908089996</v>
      </c>
      <c r="W16" s="3">
        <f>(winners_21___26[[#This Row],[Margin votes 2026]]/winners_21___26[[#This Row],[Total votes 2026.Sum of votes]])*100</f>
        <v>15.519481873206256</v>
      </c>
      <c r="X16" t="str">
        <f>IF(winners_21___26[[#This Row],[winners 2021.party]]=winners_21___26[[#This Row],[winners 2026.party]],"Retained","Flipped")</f>
        <v>Flipped</v>
      </c>
    </row>
    <row r="17" spans="1:24" x14ac:dyDescent="0.3">
      <c r="A17" s="1" t="s">
        <v>65</v>
      </c>
      <c r="B17">
        <v>16</v>
      </c>
      <c r="C17" s="1" t="s">
        <v>66</v>
      </c>
      <c r="D17" s="1" t="s">
        <v>13</v>
      </c>
      <c r="E17">
        <v>68832</v>
      </c>
      <c r="F17" s="1" t="s">
        <v>67</v>
      </c>
      <c r="G17" s="1" t="s">
        <v>15</v>
      </c>
      <c r="H17">
        <v>53901</v>
      </c>
      <c r="I17" s="1" t="s">
        <v>52</v>
      </c>
      <c r="J17" s="1" t="s">
        <v>17</v>
      </c>
      <c r="K17" s="1" t="s">
        <v>23</v>
      </c>
      <c r="L17" s="1" t="s">
        <v>769</v>
      </c>
      <c r="M17" s="1" t="s">
        <v>27</v>
      </c>
      <c r="N17">
        <v>30064</v>
      </c>
      <c r="O17" s="1" t="s">
        <v>770</v>
      </c>
      <c r="P17" s="1" t="s">
        <v>13</v>
      </c>
      <c r="Q17">
        <v>43097</v>
      </c>
      <c r="R17">
        <f>winners_21___26[[#This Row],[winners 2021.votes]]-winners_21___26[[#This Row],[runner up 2021.votes]]</f>
        <v>38768</v>
      </c>
      <c r="S17">
        <f>winners_21___26[[#This Row],[winners 2026.votes]]-winners_21___26[[#This Row],[runner up 2026.votes]]</f>
        <v>10804</v>
      </c>
      <c r="T17">
        <v>119271</v>
      </c>
      <c r="U17">
        <v>119738</v>
      </c>
      <c r="V17" s="2">
        <f>winners_21___26[[#This Row],[Margin votes 2021]]/winners_21___26[[#This Row],[Total votes 2021.Sum of votes]]</f>
        <v>0.32504129251871788</v>
      </c>
      <c r="W17" s="3">
        <f>(winners_21___26[[#This Row],[Margin votes 2026]]/winners_21___26[[#This Row],[Total votes 2026.Sum of votes]])*100</f>
        <v>9.0230336234111146</v>
      </c>
      <c r="X17" t="str">
        <f>IF(winners_21___26[[#This Row],[winners 2021.party]]=winners_21___26[[#This Row],[winners 2026.party]],"Retained","Flipped")</f>
        <v>Flipped</v>
      </c>
    </row>
    <row r="18" spans="1:24" x14ac:dyDescent="0.3">
      <c r="A18" s="1" t="s">
        <v>68</v>
      </c>
      <c r="B18">
        <v>17</v>
      </c>
      <c r="C18" s="1" t="s">
        <v>69</v>
      </c>
      <c r="D18" s="1" t="s">
        <v>13</v>
      </c>
      <c r="E18">
        <v>64424</v>
      </c>
      <c r="F18" s="1" t="s">
        <v>70</v>
      </c>
      <c r="G18" s="1" t="s">
        <v>15</v>
      </c>
      <c r="H18">
        <v>59091</v>
      </c>
      <c r="I18" s="1" t="s">
        <v>52</v>
      </c>
      <c r="J18" s="1" t="s">
        <v>17</v>
      </c>
      <c r="K18" s="1" t="s">
        <v>18</v>
      </c>
      <c r="L18" s="1" t="s">
        <v>771</v>
      </c>
      <c r="M18" s="1" t="s">
        <v>27</v>
      </c>
      <c r="N18">
        <v>36645</v>
      </c>
      <c r="O18" s="1" t="s">
        <v>772</v>
      </c>
      <c r="P18" s="1" t="s">
        <v>13</v>
      </c>
      <c r="Q18">
        <v>44842</v>
      </c>
      <c r="R18">
        <f>winners_21___26[[#This Row],[winners 2021.votes]]-winners_21___26[[#This Row],[runner up 2021.votes]]</f>
        <v>27779</v>
      </c>
      <c r="S18">
        <f>winners_21___26[[#This Row],[winners 2026.votes]]-winners_21___26[[#This Row],[runner up 2026.votes]]</f>
        <v>14249</v>
      </c>
      <c r="T18">
        <v>121191</v>
      </c>
      <c r="U18">
        <v>127356</v>
      </c>
      <c r="V18" s="2">
        <f>winners_21___26[[#This Row],[Margin votes 2021]]/winners_21___26[[#This Row],[Total votes 2021.Sum of votes]]</f>
        <v>0.22921669100840822</v>
      </c>
      <c r="W18" s="3">
        <f>(winners_21___26[[#This Row],[Margin votes 2026]]/winners_21___26[[#This Row],[Total votes 2026.Sum of votes]])*100</f>
        <v>11.188322497565878</v>
      </c>
      <c r="X18" t="str">
        <f>IF(winners_21___26[[#This Row],[winners 2021.party]]=winners_21___26[[#This Row],[winners 2026.party]],"Retained","Flipped")</f>
        <v>Flipped</v>
      </c>
    </row>
    <row r="19" spans="1:24" x14ac:dyDescent="0.3">
      <c r="A19" s="1" t="s">
        <v>71</v>
      </c>
      <c r="B19">
        <v>18</v>
      </c>
      <c r="C19" s="1" t="s">
        <v>72</v>
      </c>
      <c r="D19" s="1" t="s">
        <v>13</v>
      </c>
      <c r="E19">
        <v>59317</v>
      </c>
      <c r="F19" s="1" t="s">
        <v>73</v>
      </c>
      <c r="G19" s="1" t="s">
        <v>13</v>
      </c>
      <c r="H19">
        <v>45254</v>
      </c>
      <c r="I19" s="1" t="s">
        <v>52</v>
      </c>
      <c r="J19" s="1" t="s">
        <v>17</v>
      </c>
      <c r="K19" s="1" t="s">
        <v>18</v>
      </c>
      <c r="L19" s="1" t="s">
        <v>773</v>
      </c>
      <c r="M19" s="1" t="s">
        <v>324</v>
      </c>
      <c r="N19">
        <v>32043</v>
      </c>
      <c r="O19" s="1" t="s">
        <v>774</v>
      </c>
      <c r="P19" s="1" t="s">
        <v>15</v>
      </c>
      <c r="Q19">
        <v>33504</v>
      </c>
      <c r="R19">
        <f>winners_21___26[[#This Row],[winners 2021.votes]]-winners_21___26[[#This Row],[runner up 2021.votes]]</f>
        <v>27274</v>
      </c>
      <c r="S19">
        <f>winners_21___26[[#This Row],[winners 2026.votes]]-winners_21___26[[#This Row],[runner up 2026.votes]]</f>
        <v>11750</v>
      </c>
      <c r="T19">
        <v>101650</v>
      </c>
      <c r="U19">
        <v>99622</v>
      </c>
      <c r="V19" s="2">
        <f>winners_21___26[[#This Row],[Margin votes 2021]]/winners_21___26[[#This Row],[Total votes 2021.Sum of votes]]</f>
        <v>0.26831283817019186</v>
      </c>
      <c r="W19" s="3">
        <f>(winners_21___26[[#This Row],[Margin votes 2026]]/winners_21___26[[#This Row],[Total votes 2026.Sum of votes]])*100</f>
        <v>11.79458352572725</v>
      </c>
      <c r="X19" t="str">
        <f>IF(winners_21___26[[#This Row],[winners 2021.party]]=winners_21___26[[#This Row],[winners 2026.party]],"Retained","Flipped")</f>
        <v>Retained</v>
      </c>
    </row>
    <row r="20" spans="1:24" x14ac:dyDescent="0.3">
      <c r="A20" s="1" t="s">
        <v>74</v>
      </c>
      <c r="B20">
        <v>19</v>
      </c>
      <c r="C20" s="1" t="s">
        <v>75</v>
      </c>
      <c r="D20" s="1" t="s">
        <v>13</v>
      </c>
      <c r="E20">
        <v>93285</v>
      </c>
      <c r="F20" s="1" t="s">
        <v>75</v>
      </c>
      <c r="G20" s="1" t="s">
        <v>13</v>
      </c>
      <c r="H20">
        <v>62992</v>
      </c>
      <c r="I20" s="1" t="s">
        <v>52</v>
      </c>
      <c r="J20" s="1" t="s">
        <v>17</v>
      </c>
      <c r="K20" s="1" t="s">
        <v>18</v>
      </c>
      <c r="L20" s="1" t="s">
        <v>775</v>
      </c>
      <c r="M20" s="1" t="s">
        <v>198</v>
      </c>
      <c r="N20">
        <v>23930</v>
      </c>
      <c r="O20" s="1" t="s">
        <v>776</v>
      </c>
      <c r="P20" s="1" t="s">
        <v>15</v>
      </c>
      <c r="Q20">
        <v>55852</v>
      </c>
      <c r="R20">
        <f>winners_21___26[[#This Row],[winners 2021.votes]]-winners_21___26[[#This Row],[runner up 2021.votes]]</f>
        <v>69355</v>
      </c>
      <c r="S20">
        <f>winners_21___26[[#This Row],[winners 2026.votes]]-winners_21___26[[#This Row],[runner up 2026.votes]]</f>
        <v>7140</v>
      </c>
      <c r="T20">
        <v>137405</v>
      </c>
      <c r="U20">
        <v>140741</v>
      </c>
      <c r="V20" s="2">
        <f>winners_21___26[[#This Row],[Margin votes 2021]]/winners_21___26[[#This Row],[Total votes 2021.Sum of votes]]</f>
        <v>0.5047487354899749</v>
      </c>
      <c r="W20" s="3">
        <f>(winners_21___26[[#This Row],[Margin votes 2026]]/winners_21___26[[#This Row],[Total votes 2026.Sum of votes]])*100</f>
        <v>5.0731485494631983</v>
      </c>
      <c r="X20" t="str">
        <f>IF(winners_21___26[[#This Row],[winners 2021.party]]=winners_21___26[[#This Row],[winners 2026.party]],"Retained","Flipped")</f>
        <v>Retained</v>
      </c>
    </row>
    <row r="21" spans="1:24" x14ac:dyDescent="0.3">
      <c r="A21" s="1" t="s">
        <v>76</v>
      </c>
      <c r="B21">
        <v>20</v>
      </c>
      <c r="C21" s="1" t="s">
        <v>77</v>
      </c>
      <c r="D21" s="1" t="s">
        <v>13</v>
      </c>
      <c r="E21">
        <v>71867</v>
      </c>
      <c r="F21" s="1" t="s">
        <v>78</v>
      </c>
      <c r="G21" s="1" t="s">
        <v>15</v>
      </c>
      <c r="H21">
        <v>58965</v>
      </c>
      <c r="I21" s="1" t="s">
        <v>52</v>
      </c>
      <c r="J21" s="1" t="s">
        <v>17</v>
      </c>
      <c r="K21" s="1" t="s">
        <v>18</v>
      </c>
      <c r="L21" s="1" t="s">
        <v>777</v>
      </c>
      <c r="M21" s="1" t="s">
        <v>324</v>
      </c>
      <c r="N21">
        <v>39405</v>
      </c>
      <c r="O21" s="1" t="s">
        <v>778</v>
      </c>
      <c r="P21" s="1" t="s">
        <v>13</v>
      </c>
      <c r="Q21">
        <v>43824</v>
      </c>
      <c r="R21">
        <f>winners_21___26[[#This Row],[winners 2021.votes]]-winners_21___26[[#This Row],[runner up 2021.votes]]</f>
        <v>32462</v>
      </c>
      <c r="S21">
        <f>winners_21___26[[#This Row],[winners 2026.votes]]-winners_21___26[[#This Row],[runner up 2026.votes]]</f>
        <v>15141</v>
      </c>
      <c r="T21">
        <v>135940</v>
      </c>
      <c r="U21">
        <v>131824</v>
      </c>
      <c r="V21" s="2">
        <f>winners_21___26[[#This Row],[Margin votes 2021]]/winners_21___26[[#This Row],[Total votes 2021.Sum of votes]]</f>
        <v>0.23879652787994704</v>
      </c>
      <c r="W21" s="3">
        <f>(winners_21___26[[#This Row],[Margin votes 2026]]/winners_21___26[[#This Row],[Total votes 2026.Sum of votes]])*100</f>
        <v>11.485768903993202</v>
      </c>
      <c r="X21" t="str">
        <f>IF(winners_21___26[[#This Row],[winners 2021.party]]=winners_21___26[[#This Row],[winners 2026.party]],"Retained","Flipped")</f>
        <v>Flipped</v>
      </c>
    </row>
    <row r="22" spans="1:24" x14ac:dyDescent="0.3">
      <c r="A22" s="1" t="s">
        <v>79</v>
      </c>
      <c r="B22">
        <v>21</v>
      </c>
      <c r="C22" s="1" t="s">
        <v>80</v>
      </c>
      <c r="D22" s="1" t="s">
        <v>13</v>
      </c>
      <c r="E22">
        <v>80054</v>
      </c>
      <c r="F22" s="1" t="s">
        <v>81</v>
      </c>
      <c r="G22" s="1" t="s">
        <v>15</v>
      </c>
      <c r="H22">
        <v>71375</v>
      </c>
      <c r="I22" s="1" t="s">
        <v>52</v>
      </c>
      <c r="J22" s="1" t="s">
        <v>17</v>
      </c>
      <c r="K22" s="1" t="s">
        <v>18</v>
      </c>
      <c r="L22" s="1" t="s">
        <v>779</v>
      </c>
      <c r="M22" s="1" t="s">
        <v>27</v>
      </c>
      <c r="N22">
        <v>52609</v>
      </c>
      <c r="O22" s="1" t="s">
        <v>780</v>
      </c>
      <c r="P22" s="1" t="s">
        <v>13</v>
      </c>
      <c r="Q22">
        <v>50012</v>
      </c>
      <c r="R22">
        <f>winners_21___26[[#This Row],[winners 2021.votes]]-winners_21___26[[#This Row],[runner up 2021.votes]]</f>
        <v>27445</v>
      </c>
      <c r="S22">
        <f>winners_21___26[[#This Row],[winners 2026.votes]]-winners_21___26[[#This Row],[runner up 2026.votes]]</f>
        <v>21363</v>
      </c>
      <c r="T22">
        <v>165096</v>
      </c>
      <c r="U22">
        <v>163339</v>
      </c>
      <c r="V22" s="2">
        <f>winners_21___26[[#This Row],[Margin votes 2021]]/winners_21___26[[#This Row],[Total votes 2021.Sum of votes]]</f>
        <v>0.16623661384891214</v>
      </c>
      <c r="W22" s="3">
        <f>(winners_21___26[[#This Row],[Margin votes 2026]]/winners_21___26[[#This Row],[Total votes 2026.Sum of votes]])*100</f>
        <v>13.07893399616748</v>
      </c>
      <c r="X22" t="str">
        <f>IF(winners_21___26[[#This Row],[winners 2021.party]]=winners_21___26[[#This Row],[winners 2026.party]],"Retained","Flipped")</f>
        <v>Flipped</v>
      </c>
    </row>
    <row r="23" spans="1:24" x14ac:dyDescent="0.3">
      <c r="A23" s="1" t="s">
        <v>82</v>
      </c>
      <c r="B23">
        <v>22</v>
      </c>
      <c r="C23" s="1" t="s">
        <v>83</v>
      </c>
      <c r="D23" s="1" t="s">
        <v>13</v>
      </c>
      <c r="E23">
        <v>74351</v>
      </c>
      <c r="F23" s="1" t="s">
        <v>84</v>
      </c>
      <c r="G23" s="1" t="s">
        <v>15</v>
      </c>
      <c r="H23">
        <v>76092</v>
      </c>
      <c r="I23" s="1" t="s">
        <v>52</v>
      </c>
      <c r="J23" s="1" t="s">
        <v>17</v>
      </c>
      <c r="K23" s="1" t="s">
        <v>18</v>
      </c>
      <c r="L23" s="1" t="s">
        <v>781</v>
      </c>
      <c r="M23" s="1" t="s">
        <v>27</v>
      </c>
      <c r="N23">
        <v>55984</v>
      </c>
      <c r="O23" s="1" t="s">
        <v>782</v>
      </c>
      <c r="P23" s="1" t="s">
        <v>13</v>
      </c>
      <c r="Q23">
        <v>49006</v>
      </c>
      <c r="R23">
        <f>winners_21___26[[#This Row],[winners 2021.votes]]-winners_21___26[[#This Row],[runner up 2021.votes]]</f>
        <v>18367</v>
      </c>
      <c r="S23">
        <f>winners_21___26[[#This Row],[winners 2026.votes]]-winners_21___26[[#This Row],[runner up 2026.votes]]</f>
        <v>27086</v>
      </c>
      <c r="T23">
        <v>169087</v>
      </c>
      <c r="U23">
        <v>172831</v>
      </c>
      <c r="V23" s="2">
        <f>winners_21___26[[#This Row],[Margin votes 2021]]/winners_21___26[[#This Row],[Total votes 2021.Sum of votes]]</f>
        <v>0.10862455422356539</v>
      </c>
      <c r="W23" s="3">
        <f>(winners_21___26[[#This Row],[Margin votes 2026]]/winners_21___26[[#This Row],[Total votes 2026.Sum of votes]])*100</f>
        <v>15.671956998455139</v>
      </c>
      <c r="X23" t="str">
        <f>IF(winners_21___26[[#This Row],[winners 2021.party]]=winners_21___26[[#This Row],[winners 2026.party]],"Retained","Flipped")</f>
        <v>Flipped</v>
      </c>
    </row>
    <row r="24" spans="1:24" x14ac:dyDescent="0.3">
      <c r="A24" s="1" t="s">
        <v>85</v>
      </c>
      <c r="B24">
        <v>23</v>
      </c>
      <c r="C24" s="1" t="s">
        <v>86</v>
      </c>
      <c r="D24" s="1" t="s">
        <v>13</v>
      </c>
      <c r="E24">
        <v>80194</v>
      </c>
      <c r="F24" s="1" t="s">
        <v>87</v>
      </c>
      <c r="G24" s="1" t="s">
        <v>15</v>
      </c>
      <c r="H24">
        <v>81205</v>
      </c>
      <c r="I24" s="1" t="s">
        <v>52</v>
      </c>
      <c r="J24" s="1" t="s">
        <v>17</v>
      </c>
      <c r="K24" s="1" t="s">
        <v>18</v>
      </c>
      <c r="L24" s="1" t="s">
        <v>783</v>
      </c>
      <c r="M24" s="1" t="s">
        <v>27</v>
      </c>
      <c r="N24">
        <v>50786</v>
      </c>
      <c r="O24" s="1" t="s">
        <v>86</v>
      </c>
      <c r="P24" s="1" t="s">
        <v>13</v>
      </c>
      <c r="Q24">
        <v>52691</v>
      </c>
      <c r="R24">
        <f>winners_21___26[[#This Row],[winners 2021.votes]]-winners_21___26[[#This Row],[runner up 2021.votes]]</f>
        <v>29408</v>
      </c>
      <c r="S24">
        <f>winners_21___26[[#This Row],[winners 2026.votes]]-winners_21___26[[#This Row],[runner up 2026.votes]]</f>
        <v>28514</v>
      </c>
      <c r="T24">
        <v>160327</v>
      </c>
      <c r="U24">
        <v>160401</v>
      </c>
      <c r="V24" s="2">
        <f>winners_21___26[[#This Row],[Margin votes 2021]]/winners_21___26[[#This Row],[Total votes 2021.Sum of votes]]</f>
        <v>0.18342512490098362</v>
      </c>
      <c r="W24" s="3">
        <f>(winners_21___26[[#This Row],[Margin votes 2026]]/winners_21___26[[#This Row],[Total votes 2026.Sum of votes]])*100</f>
        <v>17.776697152760892</v>
      </c>
      <c r="X24" t="str">
        <f>IF(winners_21___26[[#This Row],[winners 2021.party]]=winners_21___26[[#This Row],[winners 2026.party]],"Retained","Flipped")</f>
        <v>Flipped</v>
      </c>
    </row>
    <row r="25" spans="1:24" x14ac:dyDescent="0.3">
      <c r="A25" s="1" t="s">
        <v>88</v>
      </c>
      <c r="B25">
        <v>24</v>
      </c>
      <c r="C25" s="1" t="s">
        <v>89</v>
      </c>
      <c r="D25" s="1" t="s">
        <v>13</v>
      </c>
      <c r="E25">
        <v>56035</v>
      </c>
      <c r="F25" s="1" t="s">
        <v>90</v>
      </c>
      <c r="G25" s="1" t="s">
        <v>15</v>
      </c>
      <c r="H25">
        <v>51632</v>
      </c>
      <c r="I25" s="1" t="s">
        <v>52</v>
      </c>
      <c r="J25" s="1" t="s">
        <v>17</v>
      </c>
      <c r="K25" s="1" t="s">
        <v>18</v>
      </c>
      <c r="L25" s="1" t="s">
        <v>784</v>
      </c>
      <c r="M25" s="1" t="s">
        <v>27</v>
      </c>
      <c r="N25">
        <v>55898</v>
      </c>
      <c r="O25" s="1" t="s">
        <v>785</v>
      </c>
      <c r="P25" s="1" t="s">
        <v>27</v>
      </c>
      <c r="Q25">
        <v>38605</v>
      </c>
      <c r="R25">
        <f>winners_21___26[[#This Row],[winners 2021.votes]]-winners_21___26[[#This Row],[runner up 2021.votes]]</f>
        <v>137</v>
      </c>
      <c r="S25">
        <f>winners_21___26[[#This Row],[winners 2026.votes]]-winners_21___26[[#This Row],[runner up 2026.votes]]</f>
        <v>13027</v>
      </c>
      <c r="T25">
        <v>138114</v>
      </c>
      <c r="U25">
        <v>133928</v>
      </c>
      <c r="V25" s="2">
        <f>winners_21___26[[#This Row],[Margin votes 2021]]/winners_21___26[[#This Row],[Total votes 2021.Sum of votes]]</f>
        <v>9.9193419928464898E-4</v>
      </c>
      <c r="W25" s="3">
        <f>(winners_21___26[[#This Row],[Margin votes 2026]]/winners_21___26[[#This Row],[Total votes 2026.Sum of votes]])*100</f>
        <v>9.7268681679708493</v>
      </c>
      <c r="X25" t="str">
        <f>IF(winners_21___26[[#This Row],[winners 2021.party]]=winners_21___26[[#This Row],[winners 2026.party]],"Retained","Flipped")</f>
        <v>Flipped</v>
      </c>
    </row>
    <row r="26" spans="1:24" x14ac:dyDescent="0.3">
      <c r="A26" s="1" t="s">
        <v>91</v>
      </c>
      <c r="B26">
        <v>25</v>
      </c>
      <c r="C26" s="1" t="s">
        <v>92</v>
      </c>
      <c r="D26" s="1" t="s">
        <v>13</v>
      </c>
      <c r="E26">
        <v>68392</v>
      </c>
      <c r="F26" s="1" t="s">
        <v>93</v>
      </c>
      <c r="G26" s="1" t="s">
        <v>15</v>
      </c>
      <c r="H26">
        <v>70070</v>
      </c>
      <c r="I26" s="1" t="s">
        <v>52</v>
      </c>
      <c r="J26" s="1" t="s">
        <v>17</v>
      </c>
      <c r="K26" s="1" t="s">
        <v>18</v>
      </c>
      <c r="L26" s="1" t="s">
        <v>786</v>
      </c>
      <c r="M26" s="1" t="s">
        <v>27</v>
      </c>
      <c r="N26">
        <v>55759</v>
      </c>
      <c r="O26" s="1" t="s">
        <v>787</v>
      </c>
      <c r="P26" s="1" t="s">
        <v>13</v>
      </c>
      <c r="Q26">
        <v>41098</v>
      </c>
      <c r="R26">
        <f>winners_21___26[[#This Row],[winners 2021.votes]]-winners_21___26[[#This Row],[runner up 2021.votes]]</f>
        <v>12633</v>
      </c>
      <c r="S26">
        <f>winners_21___26[[#This Row],[winners 2026.votes]]-winners_21___26[[#This Row],[runner up 2026.votes]]</f>
        <v>28972</v>
      </c>
      <c r="T26">
        <v>153430</v>
      </c>
      <c r="U26">
        <v>150594</v>
      </c>
      <c r="V26" s="2">
        <f>winners_21___26[[#This Row],[Margin votes 2021]]/winners_21___26[[#This Row],[Total votes 2021.Sum of votes]]</f>
        <v>8.2337222186013165E-2</v>
      </c>
      <c r="W26" s="3">
        <f>(winners_21___26[[#This Row],[Margin votes 2026]]/winners_21___26[[#This Row],[Total votes 2026.Sum of votes]])*100</f>
        <v>19.238482276850338</v>
      </c>
      <c r="X26" t="str">
        <f>IF(winners_21___26[[#This Row],[winners 2021.party]]=winners_21___26[[#This Row],[winners 2026.party]],"Retained","Flipped")</f>
        <v>Flipped</v>
      </c>
    </row>
    <row r="27" spans="1:24" x14ac:dyDescent="0.3">
      <c r="A27" s="1" t="s">
        <v>94</v>
      </c>
      <c r="B27">
        <v>26</v>
      </c>
      <c r="C27" s="1" t="s">
        <v>95</v>
      </c>
      <c r="D27" s="1" t="s">
        <v>21</v>
      </c>
      <c r="E27">
        <v>68493</v>
      </c>
      <c r="F27" s="1" t="s">
        <v>96</v>
      </c>
      <c r="G27" s="1" t="s">
        <v>15</v>
      </c>
      <c r="H27">
        <v>80430</v>
      </c>
      <c r="I27" s="1" t="s">
        <v>52</v>
      </c>
      <c r="J27" s="1" t="s">
        <v>17</v>
      </c>
      <c r="K27" s="1" t="s">
        <v>18</v>
      </c>
      <c r="L27" s="1" t="s">
        <v>788</v>
      </c>
      <c r="M27" s="1" t="s">
        <v>27</v>
      </c>
      <c r="N27">
        <v>64141</v>
      </c>
      <c r="O27" s="1" t="s">
        <v>789</v>
      </c>
      <c r="P27" s="1" t="s">
        <v>27</v>
      </c>
      <c r="Q27">
        <v>47125</v>
      </c>
      <c r="R27">
        <f>winners_21___26[[#This Row],[winners 2021.votes]]-winners_21___26[[#This Row],[runner up 2021.votes]]</f>
        <v>4352</v>
      </c>
      <c r="S27">
        <f>winners_21___26[[#This Row],[winners 2026.votes]]-winners_21___26[[#This Row],[runner up 2026.votes]]</f>
        <v>33305</v>
      </c>
      <c r="T27">
        <v>176714</v>
      </c>
      <c r="U27">
        <v>184815</v>
      </c>
      <c r="V27" s="2">
        <f>winners_21___26[[#This Row],[Margin votes 2021]]/winners_21___26[[#This Row],[Total votes 2021.Sum of votes]]</f>
        <v>2.46273639892708E-2</v>
      </c>
      <c r="W27" s="3">
        <f>(winners_21___26[[#This Row],[Margin votes 2026]]/winners_21___26[[#This Row],[Total votes 2026.Sum of votes]])*100</f>
        <v>18.020723426128832</v>
      </c>
      <c r="X27" t="str">
        <f>IF(winners_21___26[[#This Row],[winners 2021.party]]=winners_21___26[[#This Row],[winners 2026.party]],"Retained","Flipped")</f>
        <v>Flipped</v>
      </c>
    </row>
    <row r="28" spans="1:24" x14ac:dyDescent="0.3">
      <c r="A28" s="1" t="s">
        <v>97</v>
      </c>
      <c r="B28">
        <v>27</v>
      </c>
      <c r="C28" s="1" t="s">
        <v>98</v>
      </c>
      <c r="D28" s="1" t="s">
        <v>13</v>
      </c>
      <c r="E28">
        <v>171558</v>
      </c>
      <c r="F28" s="1" t="s">
        <v>99</v>
      </c>
      <c r="G28" s="1" t="s">
        <v>15</v>
      </c>
      <c r="H28">
        <v>220382</v>
      </c>
      <c r="I28" s="1" t="s">
        <v>100</v>
      </c>
      <c r="J28" s="1" t="s">
        <v>17</v>
      </c>
      <c r="K28" s="1" t="s">
        <v>18</v>
      </c>
      <c r="L28" s="1" t="s">
        <v>790</v>
      </c>
      <c r="M28" s="1" t="s">
        <v>27</v>
      </c>
      <c r="N28">
        <v>136153</v>
      </c>
      <c r="O28" s="1" t="s">
        <v>791</v>
      </c>
      <c r="P28" s="1" t="s">
        <v>13</v>
      </c>
      <c r="Q28">
        <v>123602</v>
      </c>
      <c r="R28">
        <f>winners_21___26[[#This Row],[winners 2021.votes]]-winners_21___26[[#This Row],[runner up 2021.votes]]</f>
        <v>35405</v>
      </c>
      <c r="S28">
        <f>winners_21___26[[#This Row],[winners 2026.votes]]-winners_21___26[[#This Row],[runner up 2026.votes]]</f>
        <v>96780</v>
      </c>
      <c r="T28">
        <v>388355</v>
      </c>
      <c r="U28">
        <v>447295</v>
      </c>
      <c r="V28" s="2">
        <f>winners_21___26[[#This Row],[Margin votes 2021]]/winners_21___26[[#This Row],[Total votes 2021.Sum of votes]]</f>
        <v>9.1166587271954785E-2</v>
      </c>
      <c r="W28" s="3">
        <f>(winners_21___26[[#This Row],[Margin votes 2026]]/winners_21___26[[#This Row],[Total votes 2026.Sum of votes]])*100</f>
        <v>21.636727439385638</v>
      </c>
      <c r="X28" t="str">
        <f>IF(winners_21___26[[#This Row],[winners 2021.party]]=winners_21___26[[#This Row],[winners 2026.party]],"Retained","Flipped")</f>
        <v>Flipped</v>
      </c>
    </row>
    <row r="29" spans="1:24" x14ac:dyDescent="0.3">
      <c r="A29" s="1" t="s">
        <v>101</v>
      </c>
      <c r="B29">
        <v>28</v>
      </c>
      <c r="C29" s="1" t="s">
        <v>102</v>
      </c>
      <c r="D29" s="1" t="s">
        <v>13</v>
      </c>
      <c r="E29">
        <v>116785</v>
      </c>
      <c r="F29" s="1" t="s">
        <v>103</v>
      </c>
      <c r="G29" s="1" t="s">
        <v>15</v>
      </c>
      <c r="H29">
        <v>112205</v>
      </c>
      <c r="I29" s="1" t="s">
        <v>100</v>
      </c>
      <c r="J29" s="1" t="s">
        <v>17</v>
      </c>
      <c r="K29" s="1" t="s">
        <v>18</v>
      </c>
      <c r="L29" s="1" t="s">
        <v>792</v>
      </c>
      <c r="M29" s="1" t="s">
        <v>27</v>
      </c>
      <c r="N29">
        <v>76214</v>
      </c>
      <c r="O29" s="1" t="s">
        <v>793</v>
      </c>
      <c r="P29" s="1" t="s">
        <v>13</v>
      </c>
      <c r="Q29">
        <v>82596</v>
      </c>
      <c r="R29">
        <f>winners_21___26[[#This Row],[winners 2021.votes]]-winners_21___26[[#This Row],[runner up 2021.votes]]</f>
        <v>40571</v>
      </c>
      <c r="S29">
        <f>winners_21___26[[#This Row],[winners 2026.votes]]-winners_21___26[[#This Row],[runner up 2026.votes]]</f>
        <v>29609</v>
      </c>
      <c r="T29">
        <v>237751</v>
      </c>
      <c r="U29">
        <v>261570</v>
      </c>
      <c r="V29" s="2">
        <f>winners_21___26[[#This Row],[Margin votes 2021]]/winners_21___26[[#This Row],[Total votes 2021.Sum of votes]]</f>
        <v>0.17064491842305604</v>
      </c>
      <c r="W29" s="3">
        <f>(winners_21___26[[#This Row],[Margin votes 2026]]/winners_21___26[[#This Row],[Total votes 2026.Sum of votes]])*100</f>
        <v>11.319723209848224</v>
      </c>
      <c r="X29" t="str">
        <f>IF(winners_21___26[[#This Row],[winners 2021.party]]=winners_21___26[[#This Row],[winners 2026.party]],"Retained","Flipped")</f>
        <v>Flipped</v>
      </c>
    </row>
    <row r="30" spans="1:24" x14ac:dyDescent="0.3">
      <c r="A30" s="1" t="s">
        <v>104</v>
      </c>
      <c r="B30">
        <v>29</v>
      </c>
      <c r="C30" s="1" t="s">
        <v>105</v>
      </c>
      <c r="D30" s="1" t="s">
        <v>21</v>
      </c>
      <c r="E30">
        <v>115353</v>
      </c>
      <c r="F30" s="1" t="s">
        <v>106</v>
      </c>
      <c r="G30" s="1" t="s">
        <v>15</v>
      </c>
      <c r="H30">
        <v>147611</v>
      </c>
      <c r="I30" s="1" t="s">
        <v>100</v>
      </c>
      <c r="J30" s="1" t="s">
        <v>17</v>
      </c>
      <c r="K30" s="1" t="s">
        <v>23</v>
      </c>
      <c r="L30" s="1" t="s">
        <v>794</v>
      </c>
      <c r="M30" s="1" t="s">
        <v>27</v>
      </c>
      <c r="N30">
        <v>104474</v>
      </c>
      <c r="O30" s="1" t="s">
        <v>795</v>
      </c>
      <c r="P30" s="1" t="s">
        <v>21</v>
      </c>
      <c r="Q30">
        <v>93365</v>
      </c>
      <c r="R30">
        <f>winners_21___26[[#This Row],[winners 2021.votes]]-winners_21___26[[#This Row],[runner up 2021.votes]]</f>
        <v>10879</v>
      </c>
      <c r="S30">
        <f>winners_21___26[[#This Row],[winners 2026.votes]]-winners_21___26[[#This Row],[runner up 2026.votes]]</f>
        <v>54246</v>
      </c>
      <c r="T30">
        <v>264262</v>
      </c>
      <c r="U30">
        <v>331088</v>
      </c>
      <c r="V30" s="2">
        <f>winners_21___26[[#This Row],[Margin votes 2021]]/winners_21___26[[#This Row],[Total votes 2021.Sum of votes]]</f>
        <v>4.1167477730434193E-2</v>
      </c>
      <c r="W30" s="3">
        <f>(winners_21___26[[#This Row],[Margin votes 2026]]/winners_21___26[[#This Row],[Total votes 2026.Sum of votes]])*100</f>
        <v>16.384163726864156</v>
      </c>
      <c r="X30" t="str">
        <f>IF(winners_21___26[[#This Row],[winners 2021.party]]=winners_21___26[[#This Row],[winners 2026.party]],"Retained","Flipped")</f>
        <v>Flipped</v>
      </c>
    </row>
    <row r="31" spans="1:24" x14ac:dyDescent="0.3">
      <c r="A31" s="1" t="s">
        <v>107</v>
      </c>
      <c r="B31">
        <v>30</v>
      </c>
      <c r="C31" s="1" t="s">
        <v>108</v>
      </c>
      <c r="D31" s="1" t="s">
        <v>13</v>
      </c>
      <c r="E31">
        <v>126427</v>
      </c>
      <c r="F31" s="1" t="s">
        <v>109</v>
      </c>
      <c r="G31" s="1" t="s">
        <v>15</v>
      </c>
      <c r="H31">
        <v>133611</v>
      </c>
      <c r="I31" s="1" t="s">
        <v>100</v>
      </c>
      <c r="J31" s="1" t="s">
        <v>17</v>
      </c>
      <c r="K31" s="1" t="s">
        <v>18</v>
      </c>
      <c r="L31" s="1" t="s">
        <v>796</v>
      </c>
      <c r="M31" s="1" t="s">
        <v>27</v>
      </c>
      <c r="N31">
        <v>88646</v>
      </c>
      <c r="O31" s="1" t="s">
        <v>797</v>
      </c>
      <c r="P31" s="1" t="s">
        <v>486</v>
      </c>
      <c r="Q31">
        <v>78918</v>
      </c>
      <c r="R31">
        <f>winners_21___26[[#This Row],[winners 2021.votes]]-winners_21___26[[#This Row],[runner up 2021.votes]]</f>
        <v>37781</v>
      </c>
      <c r="S31">
        <f>winners_21___26[[#This Row],[winners 2026.votes]]-winners_21___26[[#This Row],[runner up 2026.votes]]</f>
        <v>54693</v>
      </c>
      <c r="T31">
        <v>266194</v>
      </c>
      <c r="U31">
        <v>283677</v>
      </c>
      <c r="V31" s="2">
        <f>winners_21___26[[#This Row],[Margin votes 2021]]/winners_21___26[[#This Row],[Total votes 2021.Sum of votes]]</f>
        <v>0.14193032149484963</v>
      </c>
      <c r="W31" s="3">
        <f>(winners_21___26[[#This Row],[Margin votes 2026]]/winners_21___26[[#This Row],[Total votes 2026.Sum of votes]])*100</f>
        <v>19.280026227011707</v>
      </c>
      <c r="X31" t="str">
        <f>IF(winners_21___26[[#This Row],[winners 2021.party]]=winners_21___26[[#This Row],[winners 2026.party]],"Retained","Flipped")</f>
        <v>Flipped</v>
      </c>
    </row>
    <row r="32" spans="1:24" x14ac:dyDescent="0.3">
      <c r="A32" s="1" t="s">
        <v>110</v>
      </c>
      <c r="B32">
        <v>31</v>
      </c>
      <c r="C32" s="1" t="s">
        <v>111</v>
      </c>
      <c r="D32" s="1" t="s">
        <v>13</v>
      </c>
      <c r="E32">
        <v>116840</v>
      </c>
      <c r="F32" s="1" t="s">
        <v>112</v>
      </c>
      <c r="G32" s="1" t="s">
        <v>15</v>
      </c>
      <c r="H32">
        <v>118967</v>
      </c>
      <c r="I32" s="1" t="s">
        <v>100</v>
      </c>
      <c r="J32" s="1" t="s">
        <v>17</v>
      </c>
      <c r="K32" s="1" t="s">
        <v>18</v>
      </c>
      <c r="L32" s="1" t="s">
        <v>798</v>
      </c>
      <c r="M32" s="1" t="s">
        <v>27</v>
      </c>
      <c r="N32">
        <v>80016</v>
      </c>
      <c r="O32" s="1" t="s">
        <v>799</v>
      </c>
      <c r="P32" s="1" t="s">
        <v>13</v>
      </c>
      <c r="Q32">
        <v>83346</v>
      </c>
      <c r="R32">
        <f>winners_21___26[[#This Row],[winners 2021.votes]]-winners_21___26[[#This Row],[runner up 2021.votes]]</f>
        <v>36824</v>
      </c>
      <c r="S32">
        <f>winners_21___26[[#This Row],[winners 2026.votes]]-winners_21___26[[#This Row],[runner up 2026.votes]]</f>
        <v>35621</v>
      </c>
      <c r="T32">
        <v>248968</v>
      </c>
      <c r="U32">
        <v>278809</v>
      </c>
      <c r="V32" s="2">
        <f>winners_21___26[[#This Row],[Margin votes 2021]]/winners_21___26[[#This Row],[Total votes 2021.Sum of votes]]</f>
        <v>0.14790655827254909</v>
      </c>
      <c r="W32" s="3">
        <f>(winners_21___26[[#This Row],[Margin votes 2026]]/winners_21___26[[#This Row],[Total votes 2026.Sum of votes]])*100</f>
        <v>12.776129895376403</v>
      </c>
      <c r="X32" t="str">
        <f>IF(winners_21___26[[#This Row],[winners 2021.party]]=winners_21___26[[#This Row],[winners 2026.party]],"Retained","Flipped")</f>
        <v>Flipped</v>
      </c>
    </row>
    <row r="33" spans="1:24" x14ac:dyDescent="0.3">
      <c r="A33" s="1" t="s">
        <v>113</v>
      </c>
      <c r="B33">
        <v>32</v>
      </c>
      <c r="C33" s="1" t="s">
        <v>114</v>
      </c>
      <c r="D33" s="1" t="s">
        <v>13</v>
      </c>
      <c r="E33">
        <v>130573</v>
      </c>
      <c r="F33" s="1" t="s">
        <v>115</v>
      </c>
      <c r="G33" s="1" t="s">
        <v>15</v>
      </c>
      <c r="H33">
        <v>137136</v>
      </c>
      <c r="I33" s="1" t="s">
        <v>100</v>
      </c>
      <c r="J33" s="1" t="s">
        <v>17</v>
      </c>
      <c r="K33" s="1" t="s">
        <v>18</v>
      </c>
      <c r="L33" s="1" t="s">
        <v>800</v>
      </c>
      <c r="M33" s="1" t="s">
        <v>27</v>
      </c>
      <c r="N33">
        <v>103908</v>
      </c>
      <c r="O33" s="1" t="s">
        <v>801</v>
      </c>
      <c r="P33" s="1" t="s">
        <v>13</v>
      </c>
      <c r="Q33">
        <v>101495</v>
      </c>
      <c r="R33">
        <f>winners_21___26[[#This Row],[winners 2021.votes]]-winners_21___26[[#This Row],[runner up 2021.votes]]</f>
        <v>26665</v>
      </c>
      <c r="S33">
        <f>winners_21___26[[#This Row],[winners 2026.votes]]-winners_21___26[[#This Row],[runner up 2026.votes]]</f>
        <v>35641</v>
      </c>
      <c r="T33">
        <v>274087</v>
      </c>
      <c r="U33">
        <v>324010</v>
      </c>
      <c r="V33" s="2">
        <f>winners_21___26[[#This Row],[Margin votes 2021]]/winners_21___26[[#This Row],[Total votes 2021.Sum of votes]]</f>
        <v>9.728662796849176E-2</v>
      </c>
      <c r="W33" s="3">
        <f>(winners_21___26[[#This Row],[Margin votes 2026]]/winners_21___26[[#This Row],[Total votes 2026.Sum of votes]])*100</f>
        <v>10.999969136755039</v>
      </c>
      <c r="X33" t="str">
        <f>IF(winners_21___26[[#This Row],[winners 2021.party]]=winners_21___26[[#This Row],[winners 2026.party]],"Retained","Flipped")</f>
        <v>Flipped</v>
      </c>
    </row>
    <row r="34" spans="1:24" x14ac:dyDescent="0.3">
      <c r="A34" s="1" t="s">
        <v>116</v>
      </c>
      <c r="B34">
        <v>33</v>
      </c>
      <c r="C34" s="1" t="s">
        <v>117</v>
      </c>
      <c r="D34" s="1" t="s">
        <v>118</v>
      </c>
      <c r="E34">
        <v>93954</v>
      </c>
      <c r="F34" s="1" t="s">
        <v>119</v>
      </c>
      <c r="G34" s="1" t="s">
        <v>15</v>
      </c>
      <c r="H34">
        <v>110095</v>
      </c>
      <c r="I34" s="1" t="s">
        <v>100</v>
      </c>
      <c r="J34" s="1" t="s">
        <v>120</v>
      </c>
      <c r="K34" s="1" t="s">
        <v>18</v>
      </c>
      <c r="L34" s="1" t="s">
        <v>802</v>
      </c>
      <c r="M34" s="1" t="s">
        <v>198</v>
      </c>
      <c r="N34">
        <v>92007</v>
      </c>
      <c r="O34" s="1" t="s">
        <v>803</v>
      </c>
      <c r="P34" s="1" t="s">
        <v>118</v>
      </c>
      <c r="Q34">
        <v>70744</v>
      </c>
      <c r="R34">
        <f>winners_21___26[[#This Row],[winners 2021.votes]]-winners_21___26[[#This Row],[runner up 2021.votes]]</f>
        <v>1947</v>
      </c>
      <c r="S34">
        <f>winners_21___26[[#This Row],[winners 2026.votes]]-winners_21___26[[#This Row],[runner up 2026.votes]]</f>
        <v>39351</v>
      </c>
      <c r="T34">
        <v>226729</v>
      </c>
      <c r="U34">
        <v>262409</v>
      </c>
      <c r="V34" s="2">
        <f>winners_21___26[[#This Row],[Margin votes 2021]]/winners_21___26[[#This Row],[Total votes 2021.Sum of votes]]</f>
        <v>8.5873443626532115E-3</v>
      </c>
      <c r="W34" s="3">
        <f>(winners_21___26[[#This Row],[Margin votes 2026]]/winners_21___26[[#This Row],[Total votes 2026.Sum of votes]])*100</f>
        <v>14.996055775525994</v>
      </c>
      <c r="X34" t="str">
        <f>IF(winners_21___26[[#This Row],[winners 2021.party]]=winners_21___26[[#This Row],[winners 2026.party]],"Retained","Flipped")</f>
        <v>Flipped</v>
      </c>
    </row>
    <row r="35" spans="1:24" x14ac:dyDescent="0.3">
      <c r="A35" s="1" t="s">
        <v>121</v>
      </c>
      <c r="B35">
        <v>34</v>
      </c>
      <c r="C35" s="1" t="s">
        <v>122</v>
      </c>
      <c r="D35" s="1" t="s">
        <v>118</v>
      </c>
      <c r="E35">
        <v>82750</v>
      </c>
      <c r="F35" s="1" t="s">
        <v>123</v>
      </c>
      <c r="G35" s="1" t="s">
        <v>27</v>
      </c>
      <c r="H35">
        <v>63809</v>
      </c>
      <c r="I35" s="1" t="s">
        <v>100</v>
      </c>
      <c r="J35" s="1" t="s">
        <v>120</v>
      </c>
      <c r="K35" s="1" t="s">
        <v>23</v>
      </c>
      <c r="L35" s="1" t="s">
        <v>804</v>
      </c>
      <c r="M35" s="1" t="s">
        <v>27</v>
      </c>
      <c r="N35">
        <v>78708</v>
      </c>
      <c r="O35" s="1" t="s">
        <v>805</v>
      </c>
      <c r="P35" s="1" t="s">
        <v>15</v>
      </c>
      <c r="Q35">
        <v>58141</v>
      </c>
      <c r="R35">
        <f>winners_21___26[[#This Row],[winners 2021.votes]]-winners_21___26[[#This Row],[runner up 2021.votes]]</f>
        <v>4042</v>
      </c>
      <c r="S35">
        <f>winners_21___26[[#This Row],[winners 2026.votes]]-winners_21___26[[#This Row],[runner up 2026.votes]]</f>
        <v>5668</v>
      </c>
      <c r="T35">
        <v>179120</v>
      </c>
      <c r="U35">
        <v>187584</v>
      </c>
      <c r="V35" s="2">
        <f>winners_21___26[[#This Row],[Margin votes 2021]]/winners_21___26[[#This Row],[Total votes 2021.Sum of votes]]</f>
        <v>2.2565877623939259E-2</v>
      </c>
      <c r="W35" s="3">
        <f>(winners_21___26[[#This Row],[Margin votes 2026]]/winners_21___26[[#This Row],[Total votes 2026.Sum of votes]])*100</f>
        <v>3.0215796656431251</v>
      </c>
      <c r="X35" t="str">
        <f>IF(winners_21___26[[#This Row],[winners 2021.party]]=winners_21___26[[#This Row],[winners 2026.party]],"Retained","Flipped")</f>
        <v>Flipped</v>
      </c>
    </row>
    <row r="36" spans="1:24" x14ac:dyDescent="0.3">
      <c r="A36" s="1" t="s">
        <v>124</v>
      </c>
      <c r="B36">
        <v>35</v>
      </c>
      <c r="C36" s="1" t="s">
        <v>125</v>
      </c>
      <c r="D36" s="1" t="s">
        <v>27</v>
      </c>
      <c r="E36">
        <v>86646</v>
      </c>
      <c r="F36" s="1" t="s">
        <v>126</v>
      </c>
      <c r="G36" s="1" t="s">
        <v>27</v>
      </c>
      <c r="H36">
        <v>69284</v>
      </c>
      <c r="I36" s="1" t="s">
        <v>100</v>
      </c>
      <c r="J36" s="1" t="s">
        <v>120</v>
      </c>
      <c r="K36" s="1" t="s">
        <v>23</v>
      </c>
      <c r="L36" s="1" t="s">
        <v>806</v>
      </c>
      <c r="M36" s="1" t="s">
        <v>13</v>
      </c>
      <c r="N36">
        <v>83076</v>
      </c>
      <c r="O36" s="1" t="s">
        <v>807</v>
      </c>
      <c r="P36" s="1" t="s">
        <v>15</v>
      </c>
      <c r="Q36">
        <v>62090</v>
      </c>
      <c r="R36">
        <f>winners_21___26[[#This Row],[winners 2021.votes]]-winners_21___26[[#This Row],[runner up 2021.votes]]</f>
        <v>3570</v>
      </c>
      <c r="S36">
        <f>winners_21___26[[#This Row],[winners 2026.votes]]-winners_21___26[[#This Row],[runner up 2026.votes]]</f>
        <v>7194</v>
      </c>
      <c r="T36">
        <v>185842</v>
      </c>
      <c r="U36">
        <v>198251</v>
      </c>
      <c r="V36" s="2">
        <f>winners_21___26[[#This Row],[Margin votes 2021]]/winners_21___26[[#This Row],[Total votes 2021.Sum of votes]]</f>
        <v>1.9209866445690425E-2</v>
      </c>
      <c r="W36" s="3">
        <f>(winners_21___26[[#This Row],[Margin votes 2026]]/winners_21___26[[#This Row],[Total votes 2026.Sum of votes]])*100</f>
        <v>3.6287332724677301</v>
      </c>
      <c r="X36" t="str">
        <f>IF(winners_21___26[[#This Row],[winners 2021.party]]=winners_21___26[[#This Row],[winners 2026.party]],"Retained","Flipped")</f>
        <v>Retained</v>
      </c>
    </row>
    <row r="37" spans="1:24" x14ac:dyDescent="0.3">
      <c r="A37" s="1" t="s">
        <v>127</v>
      </c>
      <c r="B37">
        <v>36</v>
      </c>
      <c r="C37" s="1" t="s">
        <v>128</v>
      </c>
      <c r="D37" s="1" t="s">
        <v>13</v>
      </c>
      <c r="E37">
        <v>93427</v>
      </c>
      <c r="F37" s="1" t="s">
        <v>129</v>
      </c>
      <c r="G37" s="1" t="s">
        <v>15</v>
      </c>
      <c r="H37">
        <v>84917</v>
      </c>
      <c r="I37" s="1" t="s">
        <v>100</v>
      </c>
      <c r="J37" s="1" t="s">
        <v>120</v>
      </c>
      <c r="K37" s="1" t="s">
        <v>18</v>
      </c>
      <c r="L37" s="1" t="s">
        <v>808</v>
      </c>
      <c r="M37" s="1" t="s">
        <v>27</v>
      </c>
      <c r="N37">
        <v>91805</v>
      </c>
      <c r="O37" s="1" t="s">
        <v>809</v>
      </c>
      <c r="P37" s="1" t="s">
        <v>13</v>
      </c>
      <c r="Q37">
        <v>70694</v>
      </c>
      <c r="R37">
        <f>winners_21___26[[#This Row],[winners 2021.votes]]-winners_21___26[[#This Row],[runner up 2021.votes]]</f>
        <v>1622</v>
      </c>
      <c r="S37">
        <f>winners_21___26[[#This Row],[winners 2026.votes]]-winners_21___26[[#This Row],[runner up 2026.votes]]</f>
        <v>14223</v>
      </c>
      <c r="T37">
        <v>210529</v>
      </c>
      <c r="U37">
        <v>227765</v>
      </c>
      <c r="V37" s="2">
        <f>winners_21___26[[#This Row],[Margin votes 2021]]/winners_21___26[[#This Row],[Total votes 2021.Sum of votes]]</f>
        <v>7.7044017688774466E-3</v>
      </c>
      <c r="W37" s="3">
        <f>(winners_21___26[[#This Row],[Margin votes 2026]]/winners_21___26[[#This Row],[Total votes 2026.Sum of votes]])*100</f>
        <v>6.2445942089434281</v>
      </c>
      <c r="X37" t="str">
        <f>IF(winners_21___26[[#This Row],[winners 2021.party]]=winners_21___26[[#This Row],[winners 2026.party]],"Retained","Flipped")</f>
        <v>Flipped</v>
      </c>
    </row>
    <row r="38" spans="1:24" x14ac:dyDescent="0.3">
      <c r="A38" s="1" t="s">
        <v>130</v>
      </c>
      <c r="B38">
        <v>37</v>
      </c>
      <c r="C38" s="1" t="s">
        <v>131</v>
      </c>
      <c r="D38" s="1" t="s">
        <v>13</v>
      </c>
      <c r="E38">
        <v>102712</v>
      </c>
      <c r="F38" s="1" t="s">
        <v>132</v>
      </c>
      <c r="G38" s="1" t="s">
        <v>15</v>
      </c>
      <c r="H38">
        <v>91350</v>
      </c>
      <c r="I38" s="1" t="s">
        <v>100</v>
      </c>
      <c r="J38" s="1" t="s">
        <v>120</v>
      </c>
      <c r="K38" s="1" t="s">
        <v>18</v>
      </c>
      <c r="L38" s="1" t="s">
        <v>810</v>
      </c>
      <c r="M38" s="1" t="s">
        <v>198</v>
      </c>
      <c r="N38">
        <v>91117</v>
      </c>
      <c r="O38" s="1" t="s">
        <v>811</v>
      </c>
      <c r="P38" s="1" t="s">
        <v>27</v>
      </c>
      <c r="Q38">
        <v>75862</v>
      </c>
      <c r="R38">
        <f>winners_21___26[[#This Row],[winners 2021.votes]]-winners_21___26[[#This Row],[runner up 2021.votes]]</f>
        <v>11595</v>
      </c>
      <c r="S38">
        <f>winners_21___26[[#This Row],[winners 2026.votes]]-winners_21___26[[#This Row],[runner up 2026.votes]]</f>
        <v>15488</v>
      </c>
      <c r="T38">
        <v>229432</v>
      </c>
      <c r="U38">
        <v>246317</v>
      </c>
      <c r="V38" s="2">
        <f>winners_21___26[[#This Row],[Margin votes 2021]]/winners_21___26[[#This Row],[Total votes 2021.Sum of votes]]</f>
        <v>5.0537849994769693E-2</v>
      </c>
      <c r="W38" s="3">
        <f>(winners_21___26[[#This Row],[Margin votes 2026]]/winners_21___26[[#This Row],[Total votes 2026.Sum of votes]])*100</f>
        <v>6.2878323461230856</v>
      </c>
      <c r="X38" t="str">
        <f>IF(winners_21___26[[#This Row],[winners 2021.party]]=winners_21___26[[#This Row],[winners 2026.party]],"Retained","Flipped")</f>
        <v>Flipped</v>
      </c>
    </row>
    <row r="39" spans="1:24" x14ac:dyDescent="0.3">
      <c r="A39" s="1" t="s">
        <v>133</v>
      </c>
      <c r="B39">
        <v>38</v>
      </c>
      <c r="C39" s="1" t="s">
        <v>134</v>
      </c>
      <c r="D39" s="1" t="s">
        <v>27</v>
      </c>
      <c r="E39">
        <v>85399</v>
      </c>
      <c r="F39" s="1" t="s">
        <v>135</v>
      </c>
      <c r="G39" s="1" t="s">
        <v>15</v>
      </c>
      <c r="H39">
        <v>73776</v>
      </c>
      <c r="I39" s="1" t="s">
        <v>136</v>
      </c>
      <c r="J39" s="1" t="s">
        <v>120</v>
      </c>
      <c r="K39" s="1" t="s">
        <v>23</v>
      </c>
      <c r="L39" s="1" t="s">
        <v>812</v>
      </c>
      <c r="M39" s="1" t="s">
        <v>118</v>
      </c>
      <c r="N39">
        <v>58230</v>
      </c>
      <c r="O39" s="1" t="s">
        <v>813</v>
      </c>
      <c r="P39" s="1" t="s">
        <v>118</v>
      </c>
      <c r="Q39">
        <v>50655</v>
      </c>
      <c r="R39">
        <f>winners_21___26[[#This Row],[winners 2021.votes]]-winners_21___26[[#This Row],[runner up 2021.votes]]</f>
        <v>27169</v>
      </c>
      <c r="S39">
        <f>winners_21___26[[#This Row],[winners 2026.votes]]-winners_21___26[[#This Row],[runner up 2026.votes]]</f>
        <v>23121</v>
      </c>
      <c r="T39">
        <v>171412</v>
      </c>
      <c r="U39">
        <v>182340</v>
      </c>
      <c r="V39" s="2">
        <f>winners_21___26[[#This Row],[Margin votes 2021]]/winners_21___26[[#This Row],[Total votes 2021.Sum of votes]]</f>
        <v>0.1585011551116608</v>
      </c>
      <c r="W39" s="3">
        <f>(winners_21___26[[#This Row],[Margin votes 2026]]/winners_21___26[[#This Row],[Total votes 2026.Sum of votes]])*100</f>
        <v>12.68015794669299</v>
      </c>
      <c r="X39" t="str">
        <f>IF(winners_21___26[[#This Row],[winners 2021.party]]=winners_21___26[[#This Row],[winners 2026.party]],"Retained","Flipped")</f>
        <v>Flipped</v>
      </c>
    </row>
    <row r="40" spans="1:24" x14ac:dyDescent="0.3">
      <c r="A40" s="1" t="s">
        <v>137</v>
      </c>
      <c r="B40">
        <v>39</v>
      </c>
      <c r="C40" s="1" t="s">
        <v>138</v>
      </c>
      <c r="D40" s="1" t="s">
        <v>21</v>
      </c>
      <c r="E40">
        <v>110228</v>
      </c>
      <c r="F40" s="1" t="s">
        <v>139</v>
      </c>
      <c r="G40" s="1" t="s">
        <v>15</v>
      </c>
      <c r="H40">
        <v>84506</v>
      </c>
      <c r="I40" s="1" t="s">
        <v>136</v>
      </c>
      <c r="J40" s="1" t="s">
        <v>120</v>
      </c>
      <c r="K40" s="1" t="s">
        <v>18</v>
      </c>
      <c r="L40" s="1" t="s">
        <v>814</v>
      </c>
      <c r="M40" s="1" t="s">
        <v>198</v>
      </c>
      <c r="N40">
        <v>83530</v>
      </c>
      <c r="O40" s="1" t="s">
        <v>815</v>
      </c>
      <c r="P40" s="1" t="s">
        <v>198</v>
      </c>
      <c r="Q40">
        <v>78820</v>
      </c>
      <c r="R40">
        <f>winners_21___26[[#This Row],[winners 2021.votes]]-winners_21___26[[#This Row],[runner up 2021.votes]]</f>
        <v>26698</v>
      </c>
      <c r="S40">
        <f>winners_21___26[[#This Row],[winners 2026.votes]]-winners_21___26[[#This Row],[runner up 2026.votes]]</f>
        <v>5686</v>
      </c>
      <c r="T40">
        <v>224109</v>
      </c>
      <c r="U40">
        <v>233684</v>
      </c>
      <c r="V40" s="2">
        <f>winners_21___26[[#This Row],[Margin votes 2021]]/winners_21___26[[#This Row],[Total votes 2021.Sum of votes]]</f>
        <v>0.11912953071942671</v>
      </c>
      <c r="W40" s="3">
        <f>(winners_21___26[[#This Row],[Margin votes 2026]]/winners_21___26[[#This Row],[Total votes 2026.Sum of votes]])*100</f>
        <v>2.4332003902706218</v>
      </c>
      <c r="X40" t="str">
        <f>IF(winners_21___26[[#This Row],[winners 2021.party]]=winners_21___26[[#This Row],[winners 2026.party]],"Retained","Flipped")</f>
        <v>Flipped</v>
      </c>
    </row>
    <row r="41" spans="1:24" x14ac:dyDescent="0.3">
      <c r="A41" s="1" t="s">
        <v>140</v>
      </c>
      <c r="B41">
        <v>40</v>
      </c>
      <c r="C41" s="1" t="s">
        <v>141</v>
      </c>
      <c r="D41" s="1" t="s">
        <v>13</v>
      </c>
      <c r="E41">
        <v>85140</v>
      </c>
      <c r="F41" s="1" t="s">
        <v>142</v>
      </c>
      <c r="G41" s="1" t="s">
        <v>15</v>
      </c>
      <c r="H41">
        <v>69868</v>
      </c>
      <c r="I41" s="1" t="s">
        <v>136</v>
      </c>
      <c r="J41" s="1" t="s">
        <v>120</v>
      </c>
      <c r="K41" s="1" t="s">
        <v>18</v>
      </c>
      <c r="L41" s="1" t="s">
        <v>816</v>
      </c>
      <c r="M41" s="1" t="s">
        <v>27</v>
      </c>
      <c r="N41">
        <v>84394</v>
      </c>
      <c r="O41" s="1" t="s">
        <v>817</v>
      </c>
      <c r="P41" s="1" t="s">
        <v>27</v>
      </c>
      <c r="Q41">
        <v>63998</v>
      </c>
      <c r="R41">
        <f>winners_21___26[[#This Row],[winners 2021.votes]]-winners_21___26[[#This Row],[runner up 2021.votes]]</f>
        <v>746</v>
      </c>
      <c r="S41">
        <f>winners_21___26[[#This Row],[winners 2026.votes]]-winners_21___26[[#This Row],[runner up 2026.votes]]</f>
        <v>5870</v>
      </c>
      <c r="T41">
        <v>186246</v>
      </c>
      <c r="U41">
        <v>203497</v>
      </c>
      <c r="V41" s="2">
        <f>winners_21___26[[#This Row],[Margin votes 2021]]/winners_21___26[[#This Row],[Total votes 2021.Sum of votes]]</f>
        <v>4.0054551507146463E-3</v>
      </c>
      <c r="W41" s="3">
        <f>(winners_21___26[[#This Row],[Margin votes 2026]]/winners_21___26[[#This Row],[Total votes 2026.Sum of votes]])*100</f>
        <v>2.8845634087971814</v>
      </c>
      <c r="X41" t="str">
        <f>IF(winners_21___26[[#This Row],[winners 2021.party]]=winners_21___26[[#This Row],[winners 2026.party]],"Retained","Flipped")</f>
        <v>Flipped</v>
      </c>
    </row>
    <row r="42" spans="1:24" x14ac:dyDescent="0.3">
      <c r="A42" s="1" t="s">
        <v>143</v>
      </c>
      <c r="B42">
        <v>41</v>
      </c>
      <c r="C42" s="1" t="s">
        <v>144</v>
      </c>
      <c r="D42" s="1" t="s">
        <v>13</v>
      </c>
      <c r="E42">
        <v>103291</v>
      </c>
      <c r="F42" s="1" t="s">
        <v>145</v>
      </c>
      <c r="G42" s="1" t="s">
        <v>15</v>
      </c>
      <c r="H42">
        <v>91149</v>
      </c>
      <c r="I42" s="1" t="s">
        <v>136</v>
      </c>
      <c r="J42" s="1" t="s">
        <v>120</v>
      </c>
      <c r="K42" s="1" t="s">
        <v>18</v>
      </c>
      <c r="L42" s="1" t="s">
        <v>818</v>
      </c>
      <c r="M42" s="1" t="s">
        <v>27</v>
      </c>
      <c r="N42">
        <v>86793</v>
      </c>
      <c r="O42" s="1" t="s">
        <v>819</v>
      </c>
      <c r="P42" s="1" t="s">
        <v>13</v>
      </c>
      <c r="Q42">
        <v>85362</v>
      </c>
      <c r="R42">
        <f>winners_21___26[[#This Row],[winners 2021.votes]]-winners_21___26[[#This Row],[runner up 2021.votes]]</f>
        <v>16498</v>
      </c>
      <c r="S42">
        <f>winners_21___26[[#This Row],[winners 2026.votes]]-winners_21___26[[#This Row],[runner up 2026.votes]]</f>
        <v>5787</v>
      </c>
      <c r="T42">
        <v>207462</v>
      </c>
      <c r="U42">
        <v>221038</v>
      </c>
      <c r="V42" s="2">
        <f>winners_21___26[[#This Row],[Margin votes 2021]]/winners_21___26[[#This Row],[Total votes 2021.Sum of votes]]</f>
        <v>7.9522996982579947E-2</v>
      </c>
      <c r="W42" s="3">
        <f>(winners_21___26[[#This Row],[Margin votes 2026]]/winners_21___26[[#This Row],[Total votes 2026.Sum of votes]])*100</f>
        <v>2.6181018648377203</v>
      </c>
      <c r="X42" t="str">
        <f>IF(winners_21___26[[#This Row],[winners 2021.party]]=winners_21___26[[#This Row],[winners 2026.party]],"Retained","Flipped")</f>
        <v>Flipped</v>
      </c>
    </row>
    <row r="43" spans="1:24" x14ac:dyDescent="0.3">
      <c r="A43" s="1" t="s">
        <v>146</v>
      </c>
      <c r="B43">
        <v>42</v>
      </c>
      <c r="C43" s="1" t="s">
        <v>147</v>
      </c>
      <c r="D43" s="1" t="s">
        <v>13</v>
      </c>
      <c r="E43">
        <v>103885</v>
      </c>
      <c r="F43" s="1" t="s">
        <v>148</v>
      </c>
      <c r="G43" s="1" t="s">
        <v>27</v>
      </c>
      <c r="H43">
        <v>105608</v>
      </c>
      <c r="I43" s="1" t="s">
        <v>136</v>
      </c>
      <c r="J43" s="1" t="s">
        <v>120</v>
      </c>
      <c r="K43" s="1" t="s">
        <v>18</v>
      </c>
      <c r="L43" s="1" t="s">
        <v>820</v>
      </c>
      <c r="M43" s="1" t="s">
        <v>198</v>
      </c>
      <c r="N43">
        <v>83927</v>
      </c>
      <c r="O43" s="1" t="s">
        <v>821</v>
      </c>
      <c r="P43" s="1" t="s">
        <v>15</v>
      </c>
      <c r="Q43">
        <v>62888</v>
      </c>
      <c r="R43">
        <f>winners_21___26[[#This Row],[winners 2021.votes]]-winners_21___26[[#This Row],[runner up 2021.votes]]</f>
        <v>19958</v>
      </c>
      <c r="S43">
        <f>winners_21___26[[#This Row],[winners 2026.votes]]-winners_21___26[[#This Row],[runner up 2026.votes]]</f>
        <v>42720</v>
      </c>
      <c r="T43">
        <v>209791</v>
      </c>
      <c r="U43">
        <v>225786</v>
      </c>
      <c r="V43" s="2">
        <f>winners_21___26[[#This Row],[Margin votes 2021]]/winners_21___26[[#This Row],[Total votes 2021.Sum of votes]]</f>
        <v>9.5132774999880834E-2</v>
      </c>
      <c r="W43" s="3">
        <f>(winners_21___26[[#This Row],[Margin votes 2026]]/winners_21___26[[#This Row],[Total votes 2026.Sum of votes]])*100</f>
        <v>18.920570805984426</v>
      </c>
      <c r="X43" t="str">
        <f>IF(winners_21___26[[#This Row],[winners 2021.party]]=winners_21___26[[#This Row],[winners 2026.party]],"Retained","Flipped")</f>
        <v>Flipped</v>
      </c>
    </row>
    <row r="44" spans="1:24" x14ac:dyDescent="0.3">
      <c r="A44" s="1" t="s">
        <v>136</v>
      </c>
      <c r="B44">
        <v>43</v>
      </c>
      <c r="C44" s="1" t="s">
        <v>149</v>
      </c>
      <c r="D44" s="1" t="s">
        <v>13</v>
      </c>
      <c r="E44">
        <v>84299</v>
      </c>
      <c r="F44" s="1" t="s">
        <v>150</v>
      </c>
      <c r="G44" s="1" t="s">
        <v>15</v>
      </c>
      <c r="H44">
        <v>73032</v>
      </c>
      <c r="I44" s="1" t="s">
        <v>136</v>
      </c>
      <c r="J44" s="1" t="s">
        <v>120</v>
      </c>
      <c r="K44" s="1" t="s">
        <v>18</v>
      </c>
      <c r="L44" s="1" t="s">
        <v>822</v>
      </c>
      <c r="M44" s="1" t="s">
        <v>27</v>
      </c>
      <c r="N44">
        <v>75118</v>
      </c>
      <c r="O44" s="1" t="s">
        <v>823</v>
      </c>
      <c r="P44" s="1" t="s">
        <v>13</v>
      </c>
      <c r="Q44">
        <v>66255</v>
      </c>
      <c r="R44">
        <f>winners_21___26[[#This Row],[winners 2021.votes]]-winners_21___26[[#This Row],[runner up 2021.votes]]</f>
        <v>9181</v>
      </c>
      <c r="S44">
        <f>winners_21___26[[#This Row],[winners 2026.votes]]-winners_21___26[[#This Row],[runner up 2026.votes]]</f>
        <v>6777</v>
      </c>
      <c r="T44">
        <v>179899</v>
      </c>
      <c r="U44">
        <v>190527</v>
      </c>
      <c r="V44" s="2">
        <f>winners_21___26[[#This Row],[Margin votes 2021]]/winners_21___26[[#This Row],[Total votes 2021.Sum of votes]]</f>
        <v>5.1034191407400821E-2</v>
      </c>
      <c r="W44" s="3">
        <f>(winners_21___26[[#This Row],[Margin votes 2026]]/winners_21___26[[#This Row],[Total votes 2026.Sum of votes]])*100</f>
        <v>3.5569761766048904</v>
      </c>
      <c r="X44" t="str">
        <f>IF(winners_21___26[[#This Row],[winners 2021.party]]=winners_21___26[[#This Row],[winners 2026.party]],"Retained","Flipped")</f>
        <v>Flipped</v>
      </c>
    </row>
    <row r="45" spans="1:24" x14ac:dyDescent="0.3">
      <c r="A45" s="1" t="s">
        <v>151</v>
      </c>
      <c r="B45">
        <v>44</v>
      </c>
      <c r="C45" s="1" t="s">
        <v>152</v>
      </c>
      <c r="D45" s="1" t="s">
        <v>13</v>
      </c>
      <c r="E45">
        <v>95159</v>
      </c>
      <c r="F45" s="1" t="s">
        <v>153</v>
      </c>
      <c r="G45" s="1" t="s">
        <v>27</v>
      </c>
      <c r="H45">
        <v>76302</v>
      </c>
      <c r="I45" s="1" t="s">
        <v>136</v>
      </c>
      <c r="J45" s="1" t="s">
        <v>120</v>
      </c>
      <c r="K45" s="1" t="s">
        <v>18</v>
      </c>
      <c r="L45" s="1" t="s">
        <v>824</v>
      </c>
      <c r="M45" s="1" t="s">
        <v>27</v>
      </c>
      <c r="N45">
        <v>88799</v>
      </c>
      <c r="O45" s="1" t="s">
        <v>825</v>
      </c>
      <c r="P45" s="1" t="s">
        <v>13</v>
      </c>
      <c r="Q45">
        <v>69221</v>
      </c>
      <c r="R45">
        <f>winners_21___26[[#This Row],[winners 2021.votes]]-winners_21___26[[#This Row],[runner up 2021.votes]]</f>
        <v>6360</v>
      </c>
      <c r="S45">
        <f>winners_21___26[[#This Row],[winners 2026.votes]]-winners_21___26[[#This Row],[runner up 2026.votes]]</f>
        <v>7081</v>
      </c>
      <c r="T45">
        <v>197805</v>
      </c>
      <c r="U45">
        <v>216318</v>
      </c>
      <c r="V45" s="2">
        <f>winners_21___26[[#This Row],[Margin votes 2021]]/winners_21___26[[#This Row],[Total votes 2021.Sum of votes]]</f>
        <v>3.2152877834230681E-2</v>
      </c>
      <c r="W45" s="3">
        <f>(winners_21___26[[#This Row],[Margin votes 2026]]/winners_21___26[[#This Row],[Total votes 2026.Sum of votes]])*100</f>
        <v>3.2734215368115458</v>
      </c>
      <c r="X45" t="str">
        <f>IF(winners_21___26[[#This Row],[winners 2021.party]]=winners_21___26[[#This Row],[winners 2026.party]],"Retained","Flipped")</f>
        <v>Flipped</v>
      </c>
    </row>
    <row r="46" spans="1:24" x14ac:dyDescent="0.3">
      <c r="A46" s="1" t="s">
        <v>154</v>
      </c>
      <c r="B46">
        <v>45</v>
      </c>
      <c r="C46" s="1" t="s">
        <v>155</v>
      </c>
      <c r="D46" s="1" t="s">
        <v>27</v>
      </c>
      <c r="E46">
        <v>84579</v>
      </c>
      <c r="F46" s="1" t="s">
        <v>156</v>
      </c>
      <c r="G46" s="1" t="s">
        <v>15</v>
      </c>
      <c r="H46">
        <v>74305</v>
      </c>
      <c r="I46" s="1" t="s">
        <v>136</v>
      </c>
      <c r="J46" s="1" t="s">
        <v>120</v>
      </c>
      <c r="K46" s="1" t="s">
        <v>23</v>
      </c>
      <c r="L46" s="1" t="s">
        <v>826</v>
      </c>
      <c r="M46" s="1" t="s">
        <v>13</v>
      </c>
      <c r="N46">
        <v>73997</v>
      </c>
      <c r="O46" s="1" t="s">
        <v>827</v>
      </c>
      <c r="P46" s="1" t="s">
        <v>27</v>
      </c>
      <c r="Q46">
        <v>54050</v>
      </c>
      <c r="R46">
        <f>winners_21___26[[#This Row],[winners 2021.votes]]-winners_21___26[[#This Row],[runner up 2021.votes]]</f>
        <v>10582</v>
      </c>
      <c r="S46">
        <f>winners_21___26[[#This Row],[winners 2026.votes]]-winners_21___26[[#This Row],[runner up 2026.votes]]</f>
        <v>20255</v>
      </c>
      <c r="T46">
        <v>174124</v>
      </c>
      <c r="U46">
        <v>189892</v>
      </c>
      <c r="V46" s="2">
        <f>winners_21___26[[#This Row],[Margin votes 2021]]/winners_21___26[[#This Row],[Total votes 2021.Sum of votes]]</f>
        <v>6.0772782614688381E-2</v>
      </c>
      <c r="W46" s="3">
        <f>(winners_21___26[[#This Row],[Margin votes 2026]]/winners_21___26[[#This Row],[Total votes 2026.Sum of votes]])*100</f>
        <v>10.666589429781139</v>
      </c>
      <c r="X46" t="str">
        <f>IF(winners_21___26[[#This Row],[winners 2021.party]]=winners_21___26[[#This Row],[winners 2026.party]],"Retained","Flipped")</f>
        <v>Flipped</v>
      </c>
    </row>
    <row r="47" spans="1:24" x14ac:dyDescent="0.3">
      <c r="A47" s="1" t="s">
        <v>157</v>
      </c>
      <c r="B47">
        <v>46</v>
      </c>
      <c r="C47" s="1" t="s">
        <v>158</v>
      </c>
      <c r="D47" s="1" t="s">
        <v>13</v>
      </c>
      <c r="E47">
        <v>100412</v>
      </c>
      <c r="F47" s="1" t="s">
        <v>159</v>
      </c>
      <c r="G47" s="1" t="s">
        <v>15</v>
      </c>
      <c r="H47">
        <v>82858</v>
      </c>
      <c r="I47" s="1" t="s">
        <v>136</v>
      </c>
      <c r="J47" s="1" t="s">
        <v>120</v>
      </c>
      <c r="K47" s="1" t="s">
        <v>23</v>
      </c>
      <c r="L47" s="1" t="s">
        <v>828</v>
      </c>
      <c r="M47" s="1" t="s">
        <v>27</v>
      </c>
      <c r="N47">
        <v>93511</v>
      </c>
      <c r="O47" s="1" t="s">
        <v>829</v>
      </c>
      <c r="P47" s="1" t="s">
        <v>486</v>
      </c>
      <c r="Q47">
        <v>72761</v>
      </c>
      <c r="R47">
        <f>winners_21___26[[#This Row],[winners 2021.votes]]-winners_21___26[[#This Row],[runner up 2021.votes]]</f>
        <v>6901</v>
      </c>
      <c r="S47">
        <f>winners_21___26[[#This Row],[winners 2026.votes]]-winners_21___26[[#This Row],[runner up 2026.votes]]</f>
        <v>10097</v>
      </c>
      <c r="T47">
        <v>211630</v>
      </c>
      <c r="U47">
        <v>229076</v>
      </c>
      <c r="V47" s="2">
        <f>winners_21___26[[#This Row],[Margin votes 2021]]/winners_21___26[[#This Row],[Total votes 2021.Sum of votes]]</f>
        <v>3.2608798374521568E-2</v>
      </c>
      <c r="W47" s="3">
        <f>(winners_21___26[[#This Row],[Margin votes 2026]]/winners_21___26[[#This Row],[Total votes 2026.Sum of votes]])*100</f>
        <v>4.4077074857252621</v>
      </c>
      <c r="X47" t="str">
        <f>IF(winners_21___26[[#This Row],[winners 2021.party]]=winners_21___26[[#This Row],[winners 2026.party]],"Retained","Flipped")</f>
        <v>Flipped</v>
      </c>
    </row>
    <row r="48" spans="1:24" x14ac:dyDescent="0.3">
      <c r="A48" s="1" t="s">
        <v>160</v>
      </c>
      <c r="B48">
        <v>47</v>
      </c>
      <c r="C48" s="1" t="s">
        <v>161</v>
      </c>
      <c r="D48" s="1" t="s">
        <v>27</v>
      </c>
      <c r="E48">
        <v>88018</v>
      </c>
      <c r="F48" s="1" t="s">
        <v>162</v>
      </c>
      <c r="G48" s="1" t="s">
        <v>163</v>
      </c>
      <c r="H48">
        <v>73181</v>
      </c>
      <c r="I48" s="1" t="s">
        <v>136</v>
      </c>
      <c r="J48" s="1" t="s">
        <v>120</v>
      </c>
      <c r="K48" s="1" t="s">
        <v>18</v>
      </c>
      <c r="L48" s="1" t="s">
        <v>830</v>
      </c>
      <c r="M48" s="1" t="s">
        <v>163</v>
      </c>
      <c r="N48">
        <v>83114</v>
      </c>
      <c r="O48" s="1" t="s">
        <v>831</v>
      </c>
      <c r="P48" s="1" t="s">
        <v>15</v>
      </c>
      <c r="Q48">
        <v>70199</v>
      </c>
      <c r="R48">
        <f>winners_21___26[[#This Row],[winners 2021.votes]]-winners_21___26[[#This Row],[runner up 2021.votes]]</f>
        <v>4904</v>
      </c>
      <c r="S48">
        <f>winners_21___26[[#This Row],[winners 2026.votes]]-winners_21___26[[#This Row],[runner up 2026.votes]]</f>
        <v>2982</v>
      </c>
      <c r="T48">
        <v>189997</v>
      </c>
      <c r="U48">
        <v>212534</v>
      </c>
      <c r="V48" s="2">
        <f>winners_21___26[[#This Row],[Margin votes 2021]]/winners_21___26[[#This Row],[Total votes 2021.Sum of votes]]</f>
        <v>2.581093385685037E-2</v>
      </c>
      <c r="W48" s="3">
        <f>(winners_21___26[[#This Row],[Margin votes 2026]]/winners_21___26[[#This Row],[Total votes 2026.Sum of votes]])*100</f>
        <v>1.4030696265068179</v>
      </c>
      <c r="X48" t="str">
        <f>IF(winners_21___26[[#This Row],[winners 2021.party]]=winners_21___26[[#This Row],[winners 2026.party]],"Retained","Flipped")</f>
        <v>Flipped</v>
      </c>
    </row>
    <row r="49" spans="1:24" x14ac:dyDescent="0.3">
      <c r="A49" s="1" t="s">
        <v>164</v>
      </c>
      <c r="B49">
        <v>48</v>
      </c>
      <c r="C49" s="1" t="s">
        <v>165</v>
      </c>
      <c r="D49" s="1" t="s">
        <v>13</v>
      </c>
      <c r="E49">
        <v>90476</v>
      </c>
      <c r="F49" s="1" t="s">
        <v>166</v>
      </c>
      <c r="G49" s="1" t="s">
        <v>13</v>
      </c>
      <c r="H49">
        <v>74102</v>
      </c>
      <c r="I49" s="1" t="s">
        <v>136</v>
      </c>
      <c r="J49" s="1" t="s">
        <v>120</v>
      </c>
      <c r="K49" s="1" t="s">
        <v>18</v>
      </c>
      <c r="L49" s="1" t="s">
        <v>832</v>
      </c>
      <c r="M49" s="1" t="s">
        <v>27</v>
      </c>
      <c r="N49">
        <v>70244</v>
      </c>
      <c r="O49" s="1" t="s">
        <v>833</v>
      </c>
      <c r="P49" s="1" t="s">
        <v>15</v>
      </c>
      <c r="Q49">
        <v>66971</v>
      </c>
      <c r="R49">
        <f>winners_21___26[[#This Row],[winners 2021.votes]]-winners_21___26[[#This Row],[runner up 2021.votes]]</f>
        <v>20232</v>
      </c>
      <c r="S49">
        <f>winners_21___26[[#This Row],[winners 2026.votes]]-winners_21___26[[#This Row],[runner up 2026.votes]]</f>
        <v>7131</v>
      </c>
      <c r="T49">
        <v>177878</v>
      </c>
      <c r="U49">
        <v>195584</v>
      </c>
      <c r="V49" s="2">
        <f>winners_21___26[[#This Row],[Margin votes 2021]]/winners_21___26[[#This Row],[Total votes 2021.Sum of votes]]</f>
        <v>0.11374087857970069</v>
      </c>
      <c r="W49" s="3">
        <f>(winners_21___26[[#This Row],[Margin votes 2026]]/winners_21___26[[#This Row],[Total votes 2026.Sum of votes]])*100</f>
        <v>3.6460037630890048</v>
      </c>
      <c r="X49" t="str">
        <f>IF(winners_21___26[[#This Row],[winners 2021.party]]=winners_21___26[[#This Row],[winners 2026.party]],"Retained","Flipped")</f>
        <v>Retained</v>
      </c>
    </row>
    <row r="50" spans="1:24" x14ac:dyDescent="0.3">
      <c r="A50" s="1" t="s">
        <v>167</v>
      </c>
      <c r="B50">
        <v>49</v>
      </c>
      <c r="C50" s="1" t="s">
        <v>168</v>
      </c>
      <c r="D50" s="1" t="s">
        <v>13</v>
      </c>
      <c r="E50">
        <v>89490</v>
      </c>
      <c r="F50" s="1" t="s">
        <v>169</v>
      </c>
      <c r="G50" s="1" t="s">
        <v>27</v>
      </c>
      <c r="H50">
        <v>78633</v>
      </c>
      <c r="I50" s="1" t="s">
        <v>136</v>
      </c>
      <c r="J50" s="1" t="s">
        <v>120</v>
      </c>
      <c r="K50" s="1" t="s">
        <v>18</v>
      </c>
      <c r="L50" s="1" t="s">
        <v>834</v>
      </c>
      <c r="M50" s="1" t="s">
        <v>27</v>
      </c>
      <c r="N50">
        <v>88399</v>
      </c>
      <c r="O50" s="1" t="s">
        <v>835</v>
      </c>
      <c r="P50" s="1" t="s">
        <v>15</v>
      </c>
      <c r="Q50">
        <v>62550</v>
      </c>
      <c r="R50">
        <f>winners_21___26[[#This Row],[winners 2021.votes]]-winners_21___26[[#This Row],[runner up 2021.votes]]</f>
        <v>1091</v>
      </c>
      <c r="S50">
        <f>winners_21___26[[#This Row],[winners 2026.votes]]-winners_21___26[[#This Row],[runner up 2026.votes]]</f>
        <v>16083</v>
      </c>
      <c r="T50">
        <v>196358</v>
      </c>
      <c r="U50">
        <v>213042</v>
      </c>
      <c r="V50" s="2">
        <f>winners_21___26[[#This Row],[Margin votes 2021]]/winners_21___26[[#This Row],[Total votes 2021.Sum of votes]]</f>
        <v>5.5561780014055963E-3</v>
      </c>
      <c r="W50" s="3">
        <f>(winners_21___26[[#This Row],[Margin votes 2026]]/winners_21___26[[#This Row],[Total votes 2026.Sum of votes]])*100</f>
        <v>7.5492156476187784</v>
      </c>
      <c r="X50" t="str">
        <f>IF(winners_21___26[[#This Row],[winners 2021.party]]=winners_21___26[[#This Row],[winners 2026.party]],"Retained","Flipped")</f>
        <v>Flipped</v>
      </c>
    </row>
    <row r="51" spans="1:24" x14ac:dyDescent="0.3">
      <c r="A51" s="1" t="s">
        <v>170</v>
      </c>
      <c r="B51">
        <v>50</v>
      </c>
      <c r="C51" s="1" t="s">
        <v>171</v>
      </c>
      <c r="D51" s="1" t="s">
        <v>13</v>
      </c>
      <c r="E51">
        <v>96522</v>
      </c>
      <c r="F51" s="1" t="s">
        <v>172</v>
      </c>
      <c r="G51" s="1" t="s">
        <v>15</v>
      </c>
      <c r="H51">
        <v>105098</v>
      </c>
      <c r="I51" s="1" t="s">
        <v>136</v>
      </c>
      <c r="J51" s="1" t="s">
        <v>120</v>
      </c>
      <c r="K51" s="1" t="s">
        <v>18</v>
      </c>
      <c r="L51" s="1" t="s">
        <v>836</v>
      </c>
      <c r="M51" s="1" t="s">
        <v>198</v>
      </c>
      <c r="N51">
        <v>68282</v>
      </c>
      <c r="O51" s="1" t="s">
        <v>265</v>
      </c>
      <c r="P51" s="1" t="s">
        <v>13</v>
      </c>
      <c r="Q51">
        <v>56835</v>
      </c>
      <c r="R51">
        <f>winners_21___26[[#This Row],[winners 2021.votes]]-winners_21___26[[#This Row],[runner up 2021.votes]]</f>
        <v>28240</v>
      </c>
      <c r="S51">
        <f>winners_21___26[[#This Row],[winners 2026.votes]]-winners_21___26[[#This Row],[runner up 2026.votes]]</f>
        <v>48263</v>
      </c>
      <c r="T51">
        <v>185930</v>
      </c>
      <c r="U51">
        <v>202925</v>
      </c>
      <c r="V51" s="2">
        <f>winners_21___26[[#This Row],[Margin votes 2021]]/winners_21___26[[#This Row],[Total votes 2021.Sum of votes]]</f>
        <v>0.15188511805518207</v>
      </c>
      <c r="W51" s="3">
        <f>(winners_21___26[[#This Row],[Margin votes 2026]]/winners_21___26[[#This Row],[Total votes 2026.Sum of votes]])*100</f>
        <v>23.783663915239618</v>
      </c>
      <c r="X51" t="str">
        <f>IF(winners_21___26[[#This Row],[winners 2021.party]]=winners_21___26[[#This Row],[winners 2026.party]],"Retained","Flipped")</f>
        <v>Flipped</v>
      </c>
    </row>
    <row r="52" spans="1:24" x14ac:dyDescent="0.3">
      <c r="A52" s="1" t="s">
        <v>173</v>
      </c>
      <c r="B52">
        <v>51</v>
      </c>
      <c r="C52" s="1" t="s">
        <v>174</v>
      </c>
      <c r="D52" s="1" t="s">
        <v>27</v>
      </c>
      <c r="E52">
        <v>99675</v>
      </c>
      <c r="F52" s="1" t="s">
        <v>175</v>
      </c>
      <c r="G52" s="1" t="s">
        <v>15</v>
      </c>
      <c r="H52">
        <v>70201</v>
      </c>
      <c r="I52" s="1" t="s">
        <v>176</v>
      </c>
      <c r="J52" s="1" t="s">
        <v>120</v>
      </c>
      <c r="K52" s="1" t="s">
        <v>23</v>
      </c>
      <c r="L52" s="1" t="s">
        <v>837</v>
      </c>
      <c r="M52" s="1" t="s">
        <v>21</v>
      </c>
      <c r="N52">
        <v>71288</v>
      </c>
      <c r="O52" s="1" t="s">
        <v>838</v>
      </c>
      <c r="P52" s="1" t="s">
        <v>27</v>
      </c>
      <c r="Q52">
        <v>65003</v>
      </c>
      <c r="R52">
        <f>winners_21___26[[#This Row],[winners 2021.votes]]-winners_21___26[[#This Row],[runner up 2021.votes]]</f>
        <v>28387</v>
      </c>
      <c r="S52">
        <f>winners_21___26[[#This Row],[winners 2026.votes]]-winners_21___26[[#This Row],[runner up 2026.votes]]</f>
        <v>5198</v>
      </c>
      <c r="T52">
        <v>188223</v>
      </c>
      <c r="U52">
        <v>205530</v>
      </c>
      <c r="V52" s="2">
        <f>winners_21___26[[#This Row],[Margin votes 2021]]/winners_21___26[[#This Row],[Total votes 2021.Sum of votes]]</f>
        <v>0.15081578765613129</v>
      </c>
      <c r="W52" s="3">
        <f>(winners_21___26[[#This Row],[Margin votes 2026]]/winners_21___26[[#This Row],[Total votes 2026.Sum of votes]])*100</f>
        <v>2.529071181822605</v>
      </c>
      <c r="X52" t="str">
        <f>IF(winners_21___26[[#This Row],[winners 2021.party]]=winners_21___26[[#This Row],[winners 2026.party]],"Retained","Flipped")</f>
        <v>Flipped</v>
      </c>
    </row>
    <row r="53" spans="1:24" x14ac:dyDescent="0.3">
      <c r="A53" s="1" t="s">
        <v>177</v>
      </c>
      <c r="B53">
        <v>52</v>
      </c>
      <c r="C53" s="1" t="s">
        <v>178</v>
      </c>
      <c r="D53" s="1" t="s">
        <v>13</v>
      </c>
      <c r="E53">
        <v>97256</v>
      </c>
      <c r="F53" s="1" t="s">
        <v>179</v>
      </c>
      <c r="G53" s="1" t="s">
        <v>27</v>
      </c>
      <c r="H53">
        <v>71240</v>
      </c>
      <c r="I53" s="1" t="s">
        <v>176</v>
      </c>
      <c r="J53" s="1" t="s">
        <v>120</v>
      </c>
      <c r="K53" s="1" t="s">
        <v>18</v>
      </c>
      <c r="L53" s="1" t="s">
        <v>839</v>
      </c>
      <c r="M53" s="1" t="s">
        <v>27</v>
      </c>
      <c r="N53">
        <v>84642</v>
      </c>
      <c r="O53" s="1" t="s">
        <v>840</v>
      </c>
      <c r="P53" s="1" t="s">
        <v>15</v>
      </c>
      <c r="Q53">
        <v>66999</v>
      </c>
      <c r="R53">
        <f>winners_21___26[[#This Row],[winners 2021.votes]]-winners_21___26[[#This Row],[runner up 2021.votes]]</f>
        <v>12614</v>
      </c>
      <c r="S53">
        <f>winners_21___26[[#This Row],[winners 2026.votes]]-winners_21___26[[#This Row],[runner up 2026.votes]]</f>
        <v>4241</v>
      </c>
      <c r="T53">
        <v>197784</v>
      </c>
      <c r="U53">
        <v>213960</v>
      </c>
      <c r="V53" s="2">
        <f>winners_21___26[[#This Row],[Margin votes 2021]]/winners_21___26[[#This Row],[Total votes 2021.Sum of votes]]</f>
        <v>6.3776645229138854E-2</v>
      </c>
      <c r="W53" s="3">
        <f>(winners_21___26[[#This Row],[Margin votes 2026]]/winners_21___26[[#This Row],[Total votes 2026.Sum of votes]])*100</f>
        <v>1.9821461955505701</v>
      </c>
      <c r="X53" t="str">
        <f>IF(winners_21___26[[#This Row],[winners 2021.party]]=winners_21___26[[#This Row],[winners 2026.party]],"Retained","Flipped")</f>
        <v>Flipped</v>
      </c>
    </row>
    <row r="54" spans="1:24" x14ac:dyDescent="0.3">
      <c r="A54" s="1" t="s">
        <v>176</v>
      </c>
      <c r="B54">
        <v>53</v>
      </c>
      <c r="C54" s="1" t="s">
        <v>180</v>
      </c>
      <c r="D54" s="1" t="s">
        <v>27</v>
      </c>
      <c r="E54">
        <v>96050</v>
      </c>
      <c r="F54" s="1" t="s">
        <v>181</v>
      </c>
      <c r="G54" s="1" t="s">
        <v>15</v>
      </c>
      <c r="H54">
        <v>89374</v>
      </c>
      <c r="I54" s="1" t="s">
        <v>176</v>
      </c>
      <c r="J54" s="1" t="s">
        <v>120</v>
      </c>
      <c r="K54" s="1" t="s">
        <v>18</v>
      </c>
      <c r="L54" s="1" t="s">
        <v>841</v>
      </c>
      <c r="M54" s="1" t="s">
        <v>13</v>
      </c>
      <c r="N54">
        <v>95256</v>
      </c>
      <c r="O54" s="1" t="s">
        <v>842</v>
      </c>
      <c r="P54" s="1" t="s">
        <v>27</v>
      </c>
      <c r="Q54">
        <v>70530</v>
      </c>
      <c r="R54">
        <f>winners_21___26[[#This Row],[winners 2021.votes]]-winners_21___26[[#This Row],[runner up 2021.votes]]</f>
        <v>794</v>
      </c>
      <c r="S54">
        <f>winners_21___26[[#This Row],[winners 2026.votes]]-winners_21___26[[#This Row],[runner up 2026.votes]]</f>
        <v>18844</v>
      </c>
      <c r="T54">
        <v>211648</v>
      </c>
      <c r="U54">
        <v>230181</v>
      </c>
      <c r="V54" s="2">
        <f>winners_21___26[[#This Row],[Margin votes 2021]]/winners_21___26[[#This Row],[Total votes 2021.Sum of votes]]</f>
        <v>3.7515119443604474E-3</v>
      </c>
      <c r="W54" s="3">
        <f>(winners_21___26[[#This Row],[Margin votes 2026]]/winners_21___26[[#This Row],[Total votes 2026.Sum of votes]])*100</f>
        <v>8.1866009792293895</v>
      </c>
      <c r="X54" t="str">
        <f>IF(winners_21___26[[#This Row],[winners 2021.party]]=winners_21___26[[#This Row],[winners 2026.party]],"Retained","Flipped")</f>
        <v>Flipped</v>
      </c>
    </row>
    <row r="55" spans="1:24" x14ac:dyDescent="0.3">
      <c r="A55" s="1" t="s">
        <v>182</v>
      </c>
      <c r="B55">
        <v>54</v>
      </c>
      <c r="C55" s="1" t="s">
        <v>183</v>
      </c>
      <c r="D55" s="1" t="s">
        <v>27</v>
      </c>
      <c r="E55">
        <v>94104</v>
      </c>
      <c r="F55" s="1" t="s">
        <v>184</v>
      </c>
      <c r="G55" s="1" t="s">
        <v>13</v>
      </c>
      <c r="H55">
        <v>74691</v>
      </c>
      <c r="I55" s="1" t="s">
        <v>176</v>
      </c>
      <c r="J55" s="1" t="s">
        <v>120</v>
      </c>
      <c r="K55" s="1" t="s">
        <v>18</v>
      </c>
      <c r="L55" s="1" t="s">
        <v>843</v>
      </c>
      <c r="M55" s="1" t="s">
        <v>13</v>
      </c>
      <c r="N55">
        <v>91050</v>
      </c>
      <c r="O55" s="1" t="s">
        <v>844</v>
      </c>
      <c r="P55" s="1" t="s">
        <v>27</v>
      </c>
      <c r="Q55">
        <v>74553</v>
      </c>
      <c r="R55">
        <f>winners_21___26[[#This Row],[winners 2021.votes]]-winners_21___26[[#This Row],[runner up 2021.votes]]</f>
        <v>3054</v>
      </c>
      <c r="S55">
        <f>winners_21___26[[#This Row],[winners 2026.votes]]-winners_21___26[[#This Row],[runner up 2026.votes]]</f>
        <v>138</v>
      </c>
      <c r="T55">
        <v>205141</v>
      </c>
      <c r="U55">
        <v>222608</v>
      </c>
      <c r="V55" s="2">
        <f>winners_21___26[[#This Row],[Margin votes 2021]]/winners_21___26[[#This Row],[Total votes 2021.Sum of votes]]</f>
        <v>1.4887321403327467E-2</v>
      </c>
      <c r="W55" s="3">
        <f>(winners_21___26[[#This Row],[Margin votes 2026]]/winners_21___26[[#This Row],[Total votes 2026.Sum of votes]])*100</f>
        <v>6.1992381226191329E-2</v>
      </c>
      <c r="X55" t="str">
        <f>IF(winners_21___26[[#This Row],[winners 2021.party]]=winners_21___26[[#This Row],[winners 2026.party]],"Retained","Flipped")</f>
        <v>Flipped</v>
      </c>
    </row>
    <row r="56" spans="1:24" x14ac:dyDescent="0.3">
      <c r="A56" s="1" t="s">
        <v>185</v>
      </c>
      <c r="B56">
        <v>55</v>
      </c>
      <c r="C56" s="1" t="s">
        <v>186</v>
      </c>
      <c r="D56" s="1" t="s">
        <v>13</v>
      </c>
      <c r="E56">
        <v>118231</v>
      </c>
      <c r="F56" s="1" t="s">
        <v>187</v>
      </c>
      <c r="G56" s="1" t="s">
        <v>27</v>
      </c>
      <c r="H56">
        <v>109867</v>
      </c>
      <c r="I56" s="1" t="s">
        <v>176</v>
      </c>
      <c r="J56" s="1" t="s">
        <v>120</v>
      </c>
      <c r="K56" s="1" t="s">
        <v>18</v>
      </c>
      <c r="L56" s="1" t="s">
        <v>845</v>
      </c>
      <c r="M56" s="1" t="s">
        <v>27</v>
      </c>
      <c r="N56">
        <v>105864</v>
      </c>
      <c r="O56" s="1" t="s">
        <v>846</v>
      </c>
      <c r="P56" s="1" t="s">
        <v>15</v>
      </c>
      <c r="Q56">
        <v>82064</v>
      </c>
      <c r="R56">
        <f>winners_21___26[[#This Row],[winners 2021.votes]]-winners_21___26[[#This Row],[runner up 2021.votes]]</f>
        <v>12367</v>
      </c>
      <c r="S56">
        <f>winners_21___26[[#This Row],[winners 2026.votes]]-winners_21___26[[#This Row],[runner up 2026.votes]]</f>
        <v>27803</v>
      </c>
      <c r="T56">
        <v>248098</v>
      </c>
      <c r="U56">
        <v>277770</v>
      </c>
      <c r="V56" s="2">
        <f>winners_21___26[[#This Row],[Margin votes 2021]]/winners_21___26[[#This Row],[Total votes 2021.Sum of votes]]</f>
        <v>4.9847237785068804E-2</v>
      </c>
      <c r="W56" s="3">
        <f>(winners_21___26[[#This Row],[Margin votes 2026]]/winners_21___26[[#This Row],[Total votes 2026.Sum of votes]])*100</f>
        <v>10.009360262087338</v>
      </c>
      <c r="X56" t="str">
        <f>IF(winners_21___26[[#This Row],[winners 2021.party]]=winners_21___26[[#This Row],[winners 2026.party]],"Retained","Flipped")</f>
        <v>Flipped</v>
      </c>
    </row>
    <row r="57" spans="1:24" x14ac:dyDescent="0.3">
      <c r="A57" s="1" t="s">
        <v>188</v>
      </c>
      <c r="B57">
        <v>56</v>
      </c>
      <c r="C57" s="1" t="s">
        <v>189</v>
      </c>
      <c r="D57" s="1" t="s">
        <v>190</v>
      </c>
      <c r="E57">
        <v>120641</v>
      </c>
      <c r="F57" s="1" t="s">
        <v>191</v>
      </c>
      <c r="G57" s="1" t="s">
        <v>190</v>
      </c>
      <c r="H57">
        <v>78283</v>
      </c>
      <c r="I57" s="1" t="s">
        <v>176</v>
      </c>
      <c r="J57" s="1" t="s">
        <v>120</v>
      </c>
      <c r="K57" s="1" t="s">
        <v>18</v>
      </c>
      <c r="L57" s="1" t="s">
        <v>847</v>
      </c>
      <c r="M57" s="1" t="s">
        <v>324</v>
      </c>
      <c r="N57">
        <v>64415</v>
      </c>
      <c r="O57" s="1" t="s">
        <v>848</v>
      </c>
      <c r="P57" s="1" t="s">
        <v>324</v>
      </c>
      <c r="Q57">
        <v>73043</v>
      </c>
      <c r="R57">
        <f>winners_21___26[[#This Row],[winners 2021.votes]]-winners_21___26[[#This Row],[runner up 2021.votes]]</f>
        <v>56226</v>
      </c>
      <c r="S57">
        <f>winners_21___26[[#This Row],[winners 2026.votes]]-winners_21___26[[#This Row],[runner up 2026.votes]]</f>
        <v>5240</v>
      </c>
      <c r="T57">
        <v>194022</v>
      </c>
      <c r="U57">
        <v>205878</v>
      </c>
      <c r="V57" s="2">
        <f>winners_21___26[[#This Row],[Margin votes 2021]]/winners_21___26[[#This Row],[Total votes 2021.Sum of votes]]</f>
        <v>0.2897918792714228</v>
      </c>
      <c r="W57" s="3">
        <f>(winners_21___26[[#This Row],[Margin votes 2026]]/winners_21___26[[#This Row],[Total votes 2026.Sum of votes]])*100</f>
        <v>2.5451966698724489</v>
      </c>
      <c r="X57" t="str">
        <f>IF(winners_21___26[[#This Row],[winners 2021.party]]=winners_21___26[[#This Row],[winners 2026.party]],"Retained","Flipped")</f>
        <v>Retained</v>
      </c>
    </row>
    <row r="58" spans="1:24" x14ac:dyDescent="0.3">
      <c r="A58" s="1" t="s">
        <v>192</v>
      </c>
      <c r="B58">
        <v>57</v>
      </c>
      <c r="C58" s="1" t="s">
        <v>193</v>
      </c>
      <c r="D58" s="1" t="s">
        <v>27</v>
      </c>
      <c r="E58">
        <v>110070</v>
      </c>
      <c r="F58" s="1" t="s">
        <v>194</v>
      </c>
      <c r="G58" s="1" t="s">
        <v>27</v>
      </c>
      <c r="H58">
        <v>102807</v>
      </c>
      <c r="I58" s="1" t="s">
        <v>195</v>
      </c>
      <c r="J58" s="1" t="s">
        <v>120</v>
      </c>
      <c r="K58" s="1" t="s">
        <v>18</v>
      </c>
      <c r="L58" s="1" t="s">
        <v>849</v>
      </c>
      <c r="M58" s="1" t="s">
        <v>13</v>
      </c>
      <c r="N58">
        <v>81970</v>
      </c>
      <c r="O58" s="1" t="s">
        <v>850</v>
      </c>
      <c r="P58" s="1" t="s">
        <v>15</v>
      </c>
      <c r="Q58">
        <v>63765</v>
      </c>
      <c r="R58">
        <f>winners_21___26[[#This Row],[winners 2021.votes]]-winners_21___26[[#This Row],[runner up 2021.votes]]</f>
        <v>28100</v>
      </c>
      <c r="S58">
        <f>winners_21___26[[#This Row],[winners 2026.votes]]-winners_21___26[[#This Row],[runner up 2026.votes]]</f>
        <v>39042</v>
      </c>
      <c r="T58">
        <v>206595</v>
      </c>
      <c r="U58">
        <v>225257</v>
      </c>
      <c r="V58" s="2">
        <f>winners_21___26[[#This Row],[Margin votes 2021]]/winners_21___26[[#This Row],[Total votes 2021.Sum of votes]]</f>
        <v>0.13601490839565333</v>
      </c>
      <c r="W58" s="3">
        <f>(winners_21___26[[#This Row],[Margin votes 2026]]/winners_21___26[[#This Row],[Total votes 2026.Sum of votes]])*100</f>
        <v>17.332202772832808</v>
      </c>
      <c r="X58" t="str">
        <f>IF(winners_21___26[[#This Row],[winners 2021.party]]=winners_21___26[[#This Row],[winners 2026.party]],"Retained","Flipped")</f>
        <v>Retained</v>
      </c>
    </row>
    <row r="59" spans="1:24" x14ac:dyDescent="0.3">
      <c r="A59" s="1" t="s">
        <v>196</v>
      </c>
      <c r="B59">
        <v>58</v>
      </c>
      <c r="C59" s="1" t="s">
        <v>197</v>
      </c>
      <c r="D59" s="1" t="s">
        <v>198</v>
      </c>
      <c r="E59">
        <v>106123</v>
      </c>
      <c r="F59" s="1" t="s">
        <v>199</v>
      </c>
      <c r="G59" s="1" t="s">
        <v>15</v>
      </c>
      <c r="H59">
        <v>81240</v>
      </c>
      <c r="I59" s="1" t="s">
        <v>195</v>
      </c>
      <c r="J59" s="1" t="s">
        <v>120</v>
      </c>
      <c r="K59" s="1" t="s">
        <v>18</v>
      </c>
      <c r="L59" s="1" t="s">
        <v>851</v>
      </c>
      <c r="M59" s="1" t="s">
        <v>13</v>
      </c>
      <c r="N59">
        <v>84937</v>
      </c>
      <c r="O59" s="1" t="s">
        <v>852</v>
      </c>
      <c r="P59" s="1" t="s">
        <v>198</v>
      </c>
      <c r="Q59">
        <v>78075</v>
      </c>
      <c r="R59">
        <f>winners_21___26[[#This Row],[winners 2021.votes]]-winners_21___26[[#This Row],[runner up 2021.votes]]</f>
        <v>21186</v>
      </c>
      <c r="S59">
        <f>winners_21___26[[#This Row],[winners 2026.votes]]-winners_21___26[[#This Row],[runner up 2026.votes]]</f>
        <v>3165</v>
      </c>
      <c r="T59">
        <v>210305</v>
      </c>
      <c r="U59">
        <v>228666</v>
      </c>
      <c r="V59" s="2">
        <f>winners_21___26[[#This Row],[Margin votes 2021]]/winners_21___26[[#This Row],[Total votes 2021.Sum of votes]]</f>
        <v>0.10073940229666437</v>
      </c>
      <c r="W59" s="3">
        <f>(winners_21___26[[#This Row],[Margin votes 2026]]/winners_21___26[[#This Row],[Total votes 2026.Sum of votes]])*100</f>
        <v>1.3841148224921938</v>
      </c>
      <c r="X59" t="str">
        <f>IF(winners_21___26[[#This Row],[winners 2021.party]]=winners_21___26[[#This Row],[winners 2026.party]],"Retained","Flipped")</f>
        <v>Flipped</v>
      </c>
    </row>
    <row r="60" spans="1:24" x14ac:dyDescent="0.3">
      <c r="A60" s="1" t="s">
        <v>195</v>
      </c>
      <c r="B60">
        <v>59</v>
      </c>
      <c r="C60" s="1" t="s">
        <v>200</v>
      </c>
      <c r="D60" s="1" t="s">
        <v>198</v>
      </c>
      <c r="E60">
        <v>105630</v>
      </c>
      <c r="F60" s="1" t="s">
        <v>201</v>
      </c>
      <c r="G60" s="1" t="s">
        <v>198</v>
      </c>
      <c r="H60">
        <v>93713</v>
      </c>
      <c r="I60" s="1" t="s">
        <v>195</v>
      </c>
      <c r="J60" s="1" t="s">
        <v>120</v>
      </c>
      <c r="K60" s="1" t="s">
        <v>18</v>
      </c>
      <c r="L60" s="1" t="s">
        <v>853</v>
      </c>
      <c r="M60" s="1" t="s">
        <v>13</v>
      </c>
      <c r="N60">
        <v>78770</v>
      </c>
      <c r="O60" s="1" t="s">
        <v>854</v>
      </c>
      <c r="P60" s="1" t="s">
        <v>15</v>
      </c>
      <c r="Q60">
        <v>72817</v>
      </c>
      <c r="R60">
        <f>winners_21___26[[#This Row],[winners 2021.votes]]-winners_21___26[[#This Row],[runner up 2021.votes]]</f>
        <v>26860</v>
      </c>
      <c r="S60">
        <f>winners_21___26[[#This Row],[winners 2026.votes]]-winners_21___26[[#This Row],[runner up 2026.votes]]</f>
        <v>20896</v>
      </c>
      <c r="T60">
        <v>217333</v>
      </c>
      <c r="U60">
        <v>238579</v>
      </c>
      <c r="V60" s="2">
        <f>winners_21___26[[#This Row],[Margin votes 2021]]/winners_21___26[[#This Row],[Total votes 2021.Sum of votes]]</f>
        <v>0.12358914660912057</v>
      </c>
      <c r="W60" s="3">
        <f>(winners_21___26[[#This Row],[Margin votes 2026]]/winners_21___26[[#This Row],[Total votes 2026.Sum of votes]])*100</f>
        <v>8.7585244300629981</v>
      </c>
      <c r="X60" t="str">
        <f>IF(winners_21___26[[#This Row],[winners 2021.party]]=winners_21___26[[#This Row],[winners 2026.party]],"Retained","Flipped")</f>
        <v>Retained</v>
      </c>
    </row>
    <row r="61" spans="1:24" x14ac:dyDescent="0.3">
      <c r="A61" s="1" t="s">
        <v>202</v>
      </c>
      <c r="B61">
        <v>60</v>
      </c>
      <c r="C61" s="1" t="s">
        <v>203</v>
      </c>
      <c r="D61" s="1" t="s">
        <v>27</v>
      </c>
      <c r="E61">
        <v>114507</v>
      </c>
      <c r="F61" s="1" t="s">
        <v>204</v>
      </c>
      <c r="G61" s="1" t="s">
        <v>27</v>
      </c>
      <c r="H61">
        <v>101829</v>
      </c>
      <c r="I61" s="1" t="s">
        <v>195</v>
      </c>
      <c r="J61" s="1" t="s">
        <v>120</v>
      </c>
      <c r="K61" s="1" t="s">
        <v>18</v>
      </c>
      <c r="L61" s="1" t="s">
        <v>855</v>
      </c>
      <c r="M61" s="1" t="s">
        <v>13</v>
      </c>
      <c r="N61">
        <v>77564</v>
      </c>
      <c r="O61" s="1" t="s">
        <v>856</v>
      </c>
      <c r="P61" s="1" t="s">
        <v>13</v>
      </c>
      <c r="Q61">
        <v>68715</v>
      </c>
      <c r="R61">
        <f>winners_21___26[[#This Row],[winners 2021.votes]]-winners_21___26[[#This Row],[runner up 2021.votes]]</f>
        <v>36943</v>
      </c>
      <c r="S61">
        <f>winners_21___26[[#This Row],[winners 2026.votes]]-winners_21___26[[#This Row],[runner up 2026.votes]]</f>
        <v>33114</v>
      </c>
      <c r="T61">
        <v>220994</v>
      </c>
      <c r="U61">
        <v>236621</v>
      </c>
      <c r="V61" s="2">
        <f>winners_21___26[[#This Row],[Margin votes 2021]]/winners_21___26[[#This Row],[Total votes 2021.Sum of votes]]</f>
        <v>0.16716743440998399</v>
      </c>
      <c r="W61" s="3">
        <f>(winners_21___26[[#This Row],[Margin votes 2026]]/winners_21___26[[#This Row],[Total votes 2026.Sum of votes]])*100</f>
        <v>13.994531339145722</v>
      </c>
      <c r="X61" t="str">
        <f>IF(winners_21___26[[#This Row],[winners 2021.party]]=winners_21___26[[#This Row],[winners 2026.party]],"Retained","Flipped")</f>
        <v>Retained</v>
      </c>
    </row>
    <row r="62" spans="1:24" x14ac:dyDescent="0.3">
      <c r="A62" s="1" t="s">
        <v>205</v>
      </c>
      <c r="B62">
        <v>61</v>
      </c>
      <c r="C62" s="1" t="s">
        <v>206</v>
      </c>
      <c r="D62" s="1" t="s">
        <v>27</v>
      </c>
      <c r="E62">
        <v>99061</v>
      </c>
      <c r="F62" s="1" t="s">
        <v>207</v>
      </c>
      <c r="G62" s="1" t="s">
        <v>27</v>
      </c>
      <c r="H62">
        <v>75523</v>
      </c>
      <c r="I62" s="1" t="s">
        <v>195</v>
      </c>
      <c r="J62" s="1" t="s">
        <v>120</v>
      </c>
      <c r="K62" s="1" t="s">
        <v>23</v>
      </c>
      <c r="L62" s="1" t="s">
        <v>857</v>
      </c>
      <c r="M62" s="1" t="s">
        <v>520</v>
      </c>
      <c r="N62">
        <v>68699</v>
      </c>
      <c r="O62" s="1" t="s">
        <v>858</v>
      </c>
      <c r="P62" s="1" t="s">
        <v>13</v>
      </c>
      <c r="Q62">
        <v>72194</v>
      </c>
      <c r="R62">
        <f>winners_21___26[[#This Row],[winners 2021.votes]]-winners_21___26[[#This Row],[runner up 2021.votes]]</f>
        <v>30362</v>
      </c>
      <c r="S62">
        <f>winners_21___26[[#This Row],[winners 2026.votes]]-winners_21___26[[#This Row],[runner up 2026.votes]]</f>
        <v>3329</v>
      </c>
      <c r="T62">
        <v>198565</v>
      </c>
      <c r="U62">
        <v>220042</v>
      </c>
      <c r="V62" s="2">
        <f>winners_21___26[[#This Row],[Margin votes 2021]]/winners_21___26[[#This Row],[Total votes 2021.Sum of votes]]</f>
        <v>0.15290710850351269</v>
      </c>
      <c r="W62" s="3">
        <f>(winners_21___26[[#This Row],[Margin votes 2026]]/winners_21___26[[#This Row],[Total votes 2026.Sum of votes]])*100</f>
        <v>1.5128929931558521</v>
      </c>
      <c r="X62" t="str">
        <f>IF(winners_21___26[[#This Row],[winners 2021.party]]=winners_21___26[[#This Row],[winners 2026.party]],"Retained","Flipped")</f>
        <v>Retained</v>
      </c>
    </row>
    <row r="63" spans="1:24" x14ac:dyDescent="0.3">
      <c r="A63" s="1" t="s">
        <v>208</v>
      </c>
      <c r="B63">
        <v>62</v>
      </c>
      <c r="C63" s="1" t="s">
        <v>209</v>
      </c>
      <c r="D63" s="1" t="s">
        <v>13</v>
      </c>
      <c r="E63">
        <v>108081</v>
      </c>
      <c r="F63" s="1" t="s">
        <v>210</v>
      </c>
      <c r="G63" s="1" t="s">
        <v>27</v>
      </c>
      <c r="H63">
        <v>87802</v>
      </c>
      <c r="I63" s="1" t="s">
        <v>211</v>
      </c>
      <c r="J63" s="1" t="s">
        <v>120</v>
      </c>
      <c r="K63" s="1" t="s">
        <v>23</v>
      </c>
      <c r="L63" s="1" t="s">
        <v>859</v>
      </c>
      <c r="M63" s="1" t="s">
        <v>27</v>
      </c>
      <c r="N63">
        <v>96511</v>
      </c>
      <c r="O63" s="1" t="s">
        <v>860</v>
      </c>
      <c r="P63" s="1" t="s">
        <v>15</v>
      </c>
      <c r="Q63">
        <v>74524</v>
      </c>
      <c r="R63">
        <f>winners_21___26[[#This Row],[winners 2021.votes]]-winners_21___26[[#This Row],[runner up 2021.votes]]</f>
        <v>11570</v>
      </c>
      <c r="S63">
        <f>winners_21___26[[#This Row],[winners 2026.votes]]-winners_21___26[[#This Row],[runner up 2026.votes]]</f>
        <v>13278</v>
      </c>
      <c r="T63">
        <v>223950</v>
      </c>
      <c r="U63">
        <v>242897</v>
      </c>
      <c r="V63" s="2">
        <f>winners_21___26[[#This Row],[Margin votes 2021]]/winners_21___26[[#This Row],[Total votes 2021.Sum of votes]]</f>
        <v>5.1663317704844829E-2</v>
      </c>
      <c r="W63" s="3">
        <f>(winners_21___26[[#This Row],[Margin votes 2026]]/winners_21___26[[#This Row],[Total votes 2026.Sum of votes]])*100</f>
        <v>5.4665146131899531</v>
      </c>
      <c r="X63" t="str">
        <f>IF(winners_21___26[[#This Row],[winners 2021.party]]=winners_21___26[[#This Row],[winners 2026.party]],"Retained","Flipped")</f>
        <v>Flipped</v>
      </c>
    </row>
    <row r="64" spans="1:24" x14ac:dyDescent="0.3">
      <c r="A64" s="1" t="s">
        <v>211</v>
      </c>
      <c r="B64">
        <v>63</v>
      </c>
      <c r="C64" s="1" t="s">
        <v>212</v>
      </c>
      <c r="D64" s="1" t="s">
        <v>13</v>
      </c>
      <c r="E64">
        <v>137876</v>
      </c>
      <c r="F64" s="1" t="s">
        <v>213</v>
      </c>
      <c r="G64" s="1" t="s">
        <v>13</v>
      </c>
      <c r="H64">
        <v>88273</v>
      </c>
      <c r="I64" s="1" t="s">
        <v>211</v>
      </c>
      <c r="J64" s="1" t="s">
        <v>120</v>
      </c>
      <c r="K64" s="1" t="s">
        <v>18</v>
      </c>
      <c r="L64" s="1" t="s">
        <v>861</v>
      </c>
      <c r="M64" s="1" t="s">
        <v>324</v>
      </c>
      <c r="N64">
        <v>43203</v>
      </c>
      <c r="O64" s="1" t="s">
        <v>862</v>
      </c>
      <c r="P64" s="1" t="s">
        <v>15</v>
      </c>
      <c r="Q64">
        <v>85818</v>
      </c>
      <c r="R64">
        <f>winners_21___26[[#This Row],[winners 2021.votes]]-winners_21___26[[#This Row],[runner up 2021.votes]]</f>
        <v>94673</v>
      </c>
      <c r="S64">
        <f>winners_21___26[[#This Row],[winners 2026.votes]]-winners_21___26[[#This Row],[runner up 2026.votes]]</f>
        <v>2455</v>
      </c>
      <c r="T64">
        <v>208836</v>
      </c>
      <c r="U64">
        <v>220066</v>
      </c>
      <c r="V64" s="2">
        <f>winners_21___26[[#This Row],[Margin votes 2021]]/winners_21___26[[#This Row],[Total votes 2021.Sum of votes]]</f>
        <v>0.45333658947691013</v>
      </c>
      <c r="W64" s="3">
        <f>(winners_21___26[[#This Row],[Margin votes 2026]]/winners_21___26[[#This Row],[Total votes 2026.Sum of votes]])*100</f>
        <v>1.1155744185835159</v>
      </c>
      <c r="X64" t="str">
        <f>IF(winners_21___26[[#This Row],[winners 2021.party]]=winners_21___26[[#This Row],[winners 2026.party]],"Retained","Flipped")</f>
        <v>Retained</v>
      </c>
    </row>
    <row r="65" spans="1:24" x14ac:dyDescent="0.3">
      <c r="A65" s="1" t="s">
        <v>214</v>
      </c>
      <c r="B65">
        <v>64</v>
      </c>
      <c r="C65" s="1" t="s">
        <v>215</v>
      </c>
      <c r="D65" s="1" t="s">
        <v>13</v>
      </c>
      <c r="E65">
        <v>104675</v>
      </c>
      <c r="F65" s="1" t="s">
        <v>216</v>
      </c>
      <c r="G65" s="1" t="s">
        <v>27</v>
      </c>
      <c r="H65">
        <v>90503</v>
      </c>
      <c r="I65" s="1" t="s">
        <v>211</v>
      </c>
      <c r="J65" s="1" t="s">
        <v>120</v>
      </c>
      <c r="K65" s="1" t="s">
        <v>18</v>
      </c>
      <c r="L65" s="1" t="s">
        <v>863</v>
      </c>
      <c r="M65" s="1" t="s">
        <v>198</v>
      </c>
      <c r="N65">
        <v>77888</v>
      </c>
      <c r="O65" s="1" t="s">
        <v>864</v>
      </c>
      <c r="P65" s="1" t="s">
        <v>13</v>
      </c>
      <c r="Q65">
        <v>60038</v>
      </c>
      <c r="R65">
        <f>winners_21___26[[#This Row],[winners 2021.votes]]-winners_21___26[[#This Row],[runner up 2021.votes]]</f>
        <v>26787</v>
      </c>
      <c r="S65">
        <f>winners_21___26[[#This Row],[winners 2026.votes]]-winners_21___26[[#This Row],[runner up 2026.votes]]</f>
        <v>30465</v>
      </c>
      <c r="T65">
        <v>203886</v>
      </c>
      <c r="U65">
        <v>219790</v>
      </c>
      <c r="V65" s="2">
        <f>winners_21___26[[#This Row],[Margin votes 2021]]/winners_21___26[[#This Row],[Total votes 2021.Sum of votes]]</f>
        <v>0.13138224301815721</v>
      </c>
      <c r="W65" s="3">
        <f>(winners_21___26[[#This Row],[Margin votes 2026]]/winners_21___26[[#This Row],[Total votes 2026.Sum of votes]])*100</f>
        <v>13.860958187360662</v>
      </c>
      <c r="X65" t="str">
        <f>IF(winners_21___26[[#This Row],[winners 2021.party]]=winners_21___26[[#This Row],[winners 2026.party]],"Retained","Flipped")</f>
        <v>Flipped</v>
      </c>
    </row>
    <row r="66" spans="1:24" x14ac:dyDescent="0.3">
      <c r="A66" s="1" t="s">
        <v>217</v>
      </c>
      <c r="B66">
        <v>65</v>
      </c>
      <c r="C66" s="1" t="s">
        <v>218</v>
      </c>
      <c r="D66" s="1" t="s">
        <v>13</v>
      </c>
      <c r="E66">
        <v>94134</v>
      </c>
      <c r="F66" s="1" t="s">
        <v>219</v>
      </c>
      <c r="G66" s="1" t="s">
        <v>27</v>
      </c>
      <c r="H66">
        <v>89629</v>
      </c>
      <c r="I66" s="1" t="s">
        <v>211</v>
      </c>
      <c r="J66" s="1" t="s">
        <v>120</v>
      </c>
      <c r="K66" s="1" t="s">
        <v>18</v>
      </c>
      <c r="L66" s="1" t="s">
        <v>865</v>
      </c>
      <c r="M66" s="1" t="s">
        <v>27</v>
      </c>
      <c r="N66">
        <v>84912</v>
      </c>
      <c r="O66" s="1" t="s">
        <v>866</v>
      </c>
      <c r="P66" s="1" t="s">
        <v>13</v>
      </c>
      <c r="Q66">
        <v>62889</v>
      </c>
      <c r="R66">
        <f>winners_21___26[[#This Row],[winners 2021.votes]]-winners_21___26[[#This Row],[runner up 2021.votes]]</f>
        <v>9222</v>
      </c>
      <c r="S66">
        <f>winners_21___26[[#This Row],[winners 2026.votes]]-winners_21___26[[#This Row],[runner up 2026.votes]]</f>
        <v>26740</v>
      </c>
      <c r="T66">
        <v>196434</v>
      </c>
      <c r="U66">
        <v>214127</v>
      </c>
      <c r="V66" s="2">
        <f>winners_21___26[[#This Row],[Margin votes 2021]]/winners_21___26[[#This Row],[Total votes 2021.Sum of votes]]</f>
        <v>4.6947066190170743E-2</v>
      </c>
      <c r="W66" s="3">
        <f>(winners_21___26[[#This Row],[Margin votes 2026]]/winners_21___26[[#This Row],[Total votes 2026.Sum of votes]])*100</f>
        <v>12.4879160498209</v>
      </c>
      <c r="X66" t="str">
        <f>IF(winners_21___26[[#This Row],[winners 2021.party]]=winners_21___26[[#This Row],[winners 2026.party]],"Retained","Flipped")</f>
        <v>Flipped</v>
      </c>
    </row>
    <row r="67" spans="1:24" x14ac:dyDescent="0.3">
      <c r="A67" s="1" t="s">
        <v>220</v>
      </c>
      <c r="B67">
        <v>66</v>
      </c>
      <c r="C67" s="1" t="s">
        <v>221</v>
      </c>
      <c r="D67" s="1" t="s">
        <v>27</v>
      </c>
      <c r="E67">
        <v>97732</v>
      </c>
      <c r="F67" s="1" t="s">
        <v>222</v>
      </c>
      <c r="G67" s="1" t="s">
        <v>15</v>
      </c>
      <c r="H67">
        <v>67961</v>
      </c>
      <c r="I67" s="1" t="s">
        <v>211</v>
      </c>
      <c r="J67" s="1" t="s">
        <v>120</v>
      </c>
      <c r="K67" s="1" t="s">
        <v>18</v>
      </c>
      <c r="L67" s="1" t="s">
        <v>867</v>
      </c>
      <c r="M67" s="1" t="s">
        <v>13</v>
      </c>
      <c r="N67">
        <v>88007</v>
      </c>
      <c r="O67" s="1" t="s">
        <v>868</v>
      </c>
      <c r="P67" s="1" t="s">
        <v>486</v>
      </c>
      <c r="Q67">
        <v>67734</v>
      </c>
      <c r="R67">
        <f>winners_21___26[[#This Row],[winners 2021.votes]]-winners_21___26[[#This Row],[runner up 2021.votes]]</f>
        <v>9725</v>
      </c>
      <c r="S67">
        <f>winners_21___26[[#This Row],[winners 2026.votes]]-winners_21___26[[#This Row],[runner up 2026.votes]]</f>
        <v>227</v>
      </c>
      <c r="T67">
        <v>202012</v>
      </c>
      <c r="U67">
        <v>211743</v>
      </c>
      <c r="V67" s="2">
        <f>winners_21___26[[#This Row],[Margin votes 2021]]/winners_21___26[[#This Row],[Total votes 2021.Sum of votes]]</f>
        <v>4.8140704512603209E-2</v>
      </c>
      <c r="W67" s="3">
        <f>(winners_21___26[[#This Row],[Margin votes 2026]]/winners_21___26[[#This Row],[Total votes 2026.Sum of votes]])*100</f>
        <v>0.10720543300132708</v>
      </c>
      <c r="X67" t="str">
        <f>IF(winners_21___26[[#This Row],[winners 2021.party]]=winners_21___26[[#This Row],[winners 2026.party]],"Retained","Flipped")</f>
        <v>Flipped</v>
      </c>
    </row>
    <row r="68" spans="1:24" x14ac:dyDescent="0.3">
      <c r="A68" s="1" t="s">
        <v>223</v>
      </c>
      <c r="B68">
        <v>67</v>
      </c>
      <c r="C68" s="1" t="s">
        <v>224</v>
      </c>
      <c r="D68" s="1" t="s">
        <v>27</v>
      </c>
      <c r="E68">
        <v>102961</v>
      </c>
      <c r="F68" s="1" t="s">
        <v>225</v>
      </c>
      <c r="G68" s="1" t="s">
        <v>27</v>
      </c>
      <c r="H68">
        <v>76735</v>
      </c>
      <c r="I68" s="1" t="s">
        <v>211</v>
      </c>
      <c r="J68" s="1" t="s">
        <v>120</v>
      </c>
      <c r="K68" s="1" t="s">
        <v>18</v>
      </c>
      <c r="L68" s="1" t="s">
        <v>869</v>
      </c>
      <c r="M68" s="1" t="s">
        <v>13</v>
      </c>
      <c r="N68">
        <v>99833</v>
      </c>
      <c r="O68" s="1" t="s">
        <v>870</v>
      </c>
      <c r="P68" s="1" t="s">
        <v>13</v>
      </c>
      <c r="Q68">
        <v>71104</v>
      </c>
      <c r="R68">
        <f>winners_21___26[[#This Row],[winners 2021.votes]]-winners_21___26[[#This Row],[runner up 2021.votes]]</f>
        <v>3128</v>
      </c>
      <c r="S68">
        <f>winners_21___26[[#This Row],[winners 2026.votes]]-winners_21___26[[#This Row],[runner up 2026.votes]]</f>
        <v>5631</v>
      </c>
      <c r="T68">
        <v>221422</v>
      </c>
      <c r="U68">
        <v>230162</v>
      </c>
      <c r="V68" s="2">
        <f>winners_21___26[[#This Row],[Margin votes 2021]]/winners_21___26[[#This Row],[Total votes 2021.Sum of votes]]</f>
        <v>1.4126870861973968E-2</v>
      </c>
      <c r="W68" s="3">
        <f>(winners_21___26[[#This Row],[Margin votes 2026]]/winners_21___26[[#This Row],[Total votes 2026.Sum of votes]])*100</f>
        <v>2.4465376560857135</v>
      </c>
      <c r="X68" t="str">
        <f>IF(winners_21___26[[#This Row],[winners 2021.party]]=winners_21___26[[#This Row],[winners 2026.party]],"Retained","Flipped")</f>
        <v>Retained</v>
      </c>
    </row>
    <row r="69" spans="1:24" x14ac:dyDescent="0.3">
      <c r="A69" s="1" t="s">
        <v>226</v>
      </c>
      <c r="B69">
        <v>68</v>
      </c>
      <c r="C69" s="1" t="s">
        <v>227</v>
      </c>
      <c r="D69" s="1" t="s">
        <v>13</v>
      </c>
      <c r="E69">
        <v>102460</v>
      </c>
      <c r="F69" s="1" t="s">
        <v>228</v>
      </c>
      <c r="G69" s="1" t="s">
        <v>27</v>
      </c>
      <c r="H69">
        <v>86680</v>
      </c>
      <c r="I69" s="1" t="s">
        <v>211</v>
      </c>
      <c r="J69" s="1" t="s">
        <v>120</v>
      </c>
      <c r="K69" s="1" t="s">
        <v>18</v>
      </c>
      <c r="L69" s="1" t="s">
        <v>871</v>
      </c>
      <c r="M69" s="1" t="s">
        <v>27</v>
      </c>
      <c r="N69">
        <v>90189</v>
      </c>
      <c r="O69" s="1" t="s">
        <v>872</v>
      </c>
      <c r="P69" s="1" t="s">
        <v>15</v>
      </c>
      <c r="Q69">
        <v>65599</v>
      </c>
      <c r="R69">
        <f>winners_21___26[[#This Row],[winners 2021.votes]]-winners_21___26[[#This Row],[runner up 2021.votes]]</f>
        <v>12271</v>
      </c>
      <c r="S69">
        <f>winners_21___26[[#This Row],[winners 2026.votes]]-winners_21___26[[#This Row],[runner up 2026.votes]]</f>
        <v>21081</v>
      </c>
      <c r="T69">
        <v>214460</v>
      </c>
      <c r="U69">
        <v>222570</v>
      </c>
      <c r="V69" s="2">
        <f>winners_21___26[[#This Row],[Margin votes 2021]]/winners_21___26[[#This Row],[Total votes 2021.Sum of votes]]</f>
        <v>5.7218129254872706E-2</v>
      </c>
      <c r="W69" s="3">
        <f>(winners_21___26[[#This Row],[Margin votes 2026]]/winners_21___26[[#This Row],[Total votes 2026.Sum of votes]])*100</f>
        <v>9.4716269038954035</v>
      </c>
      <c r="X69" t="str">
        <f>IF(winners_21___26[[#This Row],[winners 2021.party]]=winners_21___26[[#This Row],[winners 2026.party]],"Retained","Flipped")</f>
        <v>Flipped</v>
      </c>
    </row>
    <row r="70" spans="1:24" x14ac:dyDescent="0.3">
      <c r="A70" s="1" t="s">
        <v>229</v>
      </c>
      <c r="B70">
        <v>69</v>
      </c>
      <c r="C70" s="1" t="s">
        <v>230</v>
      </c>
      <c r="D70" s="1" t="s">
        <v>13</v>
      </c>
      <c r="E70">
        <v>102064</v>
      </c>
      <c r="F70" s="1" t="s">
        <v>231</v>
      </c>
      <c r="G70" s="1" t="s">
        <v>13</v>
      </c>
      <c r="H70">
        <v>63805</v>
      </c>
      <c r="I70" s="1" t="s">
        <v>211</v>
      </c>
      <c r="J70" s="1" t="s">
        <v>120</v>
      </c>
      <c r="K70" s="1" t="s">
        <v>23</v>
      </c>
      <c r="L70" s="1" t="s">
        <v>873</v>
      </c>
      <c r="M70" s="1" t="s">
        <v>198</v>
      </c>
      <c r="N70">
        <v>66111</v>
      </c>
      <c r="O70" s="1" t="s">
        <v>874</v>
      </c>
      <c r="P70" s="1" t="s">
        <v>27</v>
      </c>
      <c r="Q70">
        <v>60472</v>
      </c>
      <c r="R70">
        <f>winners_21___26[[#This Row],[winners 2021.votes]]-winners_21___26[[#This Row],[runner up 2021.votes]]</f>
        <v>35953</v>
      </c>
      <c r="S70">
        <f>winners_21___26[[#This Row],[winners 2026.votes]]-winners_21___26[[#This Row],[runner up 2026.votes]]</f>
        <v>3333</v>
      </c>
      <c r="T70">
        <v>185974</v>
      </c>
      <c r="U70">
        <v>191204</v>
      </c>
      <c r="V70" s="2">
        <f>winners_21___26[[#This Row],[Margin votes 2021]]/winners_21___26[[#This Row],[Total votes 2021.Sum of votes]]</f>
        <v>0.19332272253110649</v>
      </c>
      <c r="W70" s="3">
        <f>(winners_21___26[[#This Row],[Margin votes 2026]]/winners_21___26[[#This Row],[Total votes 2026.Sum of votes]])*100</f>
        <v>1.7431643689462564</v>
      </c>
      <c r="X70" t="str">
        <f>IF(winners_21___26[[#This Row],[winners 2021.party]]=winners_21___26[[#This Row],[winners 2026.party]],"Retained","Flipped")</f>
        <v>Retained</v>
      </c>
    </row>
    <row r="71" spans="1:24" x14ac:dyDescent="0.3">
      <c r="A71" s="1" t="s">
        <v>232</v>
      </c>
      <c r="B71">
        <v>70</v>
      </c>
      <c r="C71" s="1" t="s">
        <v>233</v>
      </c>
      <c r="D71" s="1" t="s">
        <v>13</v>
      </c>
      <c r="E71">
        <v>109625</v>
      </c>
      <c r="F71" s="1" t="s">
        <v>234</v>
      </c>
      <c r="G71" s="1" t="s">
        <v>198</v>
      </c>
      <c r="H71">
        <v>78201</v>
      </c>
      <c r="I71" s="1" t="s">
        <v>235</v>
      </c>
      <c r="J71" s="1" t="s">
        <v>236</v>
      </c>
      <c r="K71" s="1" t="s">
        <v>18</v>
      </c>
      <c r="L71" s="1" t="s">
        <v>875</v>
      </c>
      <c r="M71" s="1" t="s">
        <v>198</v>
      </c>
      <c r="N71">
        <v>73822</v>
      </c>
      <c r="O71" s="1" t="s">
        <v>876</v>
      </c>
      <c r="P71" s="1" t="s">
        <v>13</v>
      </c>
      <c r="Q71">
        <v>65556</v>
      </c>
      <c r="R71">
        <f>winners_21___26[[#This Row],[winners 2021.votes]]-winners_21___26[[#This Row],[runner up 2021.votes]]</f>
        <v>35803</v>
      </c>
      <c r="S71">
        <f>winners_21___26[[#This Row],[winners 2026.votes]]-winners_21___26[[#This Row],[runner up 2026.votes]]</f>
        <v>12645</v>
      </c>
      <c r="T71">
        <v>206880</v>
      </c>
      <c r="U71">
        <v>216652</v>
      </c>
      <c r="V71" s="2">
        <f>winners_21___26[[#This Row],[Margin votes 2021]]/winners_21___26[[#This Row],[Total votes 2021.Sum of votes]]</f>
        <v>0.17306167826759475</v>
      </c>
      <c r="W71" s="3">
        <f>(winners_21___26[[#This Row],[Margin votes 2026]]/winners_21___26[[#This Row],[Total votes 2026.Sum of votes]])*100</f>
        <v>5.8365489356202573</v>
      </c>
      <c r="X71" t="str">
        <f>IF(winners_21___26[[#This Row],[winners 2021.party]]=winners_21___26[[#This Row],[winners 2026.party]],"Retained","Flipped")</f>
        <v>Flipped</v>
      </c>
    </row>
    <row r="72" spans="1:24" x14ac:dyDescent="0.3">
      <c r="A72" s="1" t="s">
        <v>237</v>
      </c>
      <c r="B72">
        <v>71</v>
      </c>
      <c r="C72" s="1" t="s">
        <v>238</v>
      </c>
      <c r="D72" s="1" t="s">
        <v>198</v>
      </c>
      <c r="E72">
        <v>81044</v>
      </c>
      <c r="F72" s="1" t="s">
        <v>239</v>
      </c>
      <c r="G72" s="1" t="s">
        <v>27</v>
      </c>
      <c r="H72">
        <v>82353</v>
      </c>
      <c r="I72" s="1" t="s">
        <v>235</v>
      </c>
      <c r="J72" s="1" t="s">
        <v>236</v>
      </c>
      <c r="K72" s="1" t="s">
        <v>18</v>
      </c>
      <c r="L72" s="1" t="s">
        <v>877</v>
      </c>
      <c r="M72" s="1" t="s">
        <v>13</v>
      </c>
      <c r="N72">
        <v>78814</v>
      </c>
      <c r="O72" s="1" t="s">
        <v>878</v>
      </c>
      <c r="P72" s="1" t="s">
        <v>15</v>
      </c>
      <c r="Q72">
        <v>52312</v>
      </c>
      <c r="R72">
        <f>winners_21___26[[#This Row],[winners 2021.votes]]-winners_21___26[[#This Row],[runner up 2021.votes]]</f>
        <v>2230</v>
      </c>
      <c r="S72">
        <f>winners_21___26[[#This Row],[winners 2026.votes]]-winners_21___26[[#This Row],[runner up 2026.votes]]</f>
        <v>30041</v>
      </c>
      <c r="T72">
        <v>176989</v>
      </c>
      <c r="U72">
        <v>189221</v>
      </c>
      <c r="V72" s="2">
        <f>winners_21___26[[#This Row],[Margin votes 2021]]/winners_21___26[[#This Row],[Total votes 2021.Sum of votes]]</f>
        <v>1.2599653085784993E-2</v>
      </c>
      <c r="W72" s="3">
        <f>(winners_21___26[[#This Row],[Margin votes 2026]]/winners_21___26[[#This Row],[Total votes 2026.Sum of votes]])*100</f>
        <v>15.876144825362937</v>
      </c>
      <c r="X72" t="str">
        <f>IF(winners_21___26[[#This Row],[winners 2021.party]]=winners_21___26[[#This Row],[winners 2026.party]],"Retained","Flipped")</f>
        <v>Flipped</v>
      </c>
    </row>
    <row r="73" spans="1:24" x14ac:dyDescent="0.3">
      <c r="A73" s="1" t="s">
        <v>240</v>
      </c>
      <c r="B73">
        <v>72</v>
      </c>
      <c r="C73" s="1" t="s">
        <v>241</v>
      </c>
      <c r="D73" s="1" t="s">
        <v>27</v>
      </c>
      <c r="E73">
        <v>87152</v>
      </c>
      <c r="F73" s="1" t="s">
        <v>242</v>
      </c>
      <c r="G73" s="1" t="s">
        <v>118</v>
      </c>
      <c r="H73">
        <v>63833</v>
      </c>
      <c r="I73" s="1" t="s">
        <v>235</v>
      </c>
      <c r="J73" s="1" t="s">
        <v>236</v>
      </c>
      <c r="K73" s="1" t="s">
        <v>23</v>
      </c>
      <c r="L73" s="1" t="s">
        <v>879</v>
      </c>
      <c r="M73" s="1" t="s">
        <v>13</v>
      </c>
      <c r="N73">
        <v>77399</v>
      </c>
      <c r="O73" s="1" t="s">
        <v>880</v>
      </c>
      <c r="P73" s="1" t="s">
        <v>27</v>
      </c>
      <c r="Q73">
        <v>63099</v>
      </c>
      <c r="R73">
        <f>winners_21___26[[#This Row],[winners 2021.votes]]-winners_21___26[[#This Row],[runner up 2021.votes]]</f>
        <v>9753</v>
      </c>
      <c r="S73">
        <f>winners_21___26[[#This Row],[winners 2026.votes]]-winners_21___26[[#This Row],[runner up 2026.votes]]</f>
        <v>734</v>
      </c>
      <c r="T73">
        <v>182538</v>
      </c>
      <c r="U73">
        <v>196026</v>
      </c>
      <c r="V73" s="2">
        <f>winners_21___26[[#This Row],[Margin votes 2021]]/winners_21___26[[#This Row],[Total votes 2021.Sum of votes]]</f>
        <v>5.3429970745817311E-2</v>
      </c>
      <c r="W73" s="3">
        <f>(winners_21___26[[#This Row],[Margin votes 2026]]/winners_21___26[[#This Row],[Total votes 2026.Sum of votes]])*100</f>
        <v>0.37444012528950238</v>
      </c>
      <c r="X73" t="str">
        <f>IF(winners_21___26[[#This Row],[winners 2021.party]]=winners_21___26[[#This Row],[winners 2026.party]],"Retained","Flipped")</f>
        <v>Flipped</v>
      </c>
    </row>
    <row r="74" spans="1:24" x14ac:dyDescent="0.3">
      <c r="A74" s="1" t="s">
        <v>243</v>
      </c>
      <c r="B74">
        <v>73</v>
      </c>
      <c r="C74" s="1" t="s">
        <v>244</v>
      </c>
      <c r="D74" s="1" t="s">
        <v>27</v>
      </c>
      <c r="E74">
        <v>92219</v>
      </c>
      <c r="F74" s="1" t="s">
        <v>245</v>
      </c>
      <c r="G74" s="1" t="s">
        <v>13</v>
      </c>
      <c r="H74">
        <v>68873</v>
      </c>
      <c r="I74" s="1" t="s">
        <v>235</v>
      </c>
      <c r="J74" s="1" t="s">
        <v>236</v>
      </c>
      <c r="K74" s="1" t="s">
        <v>23</v>
      </c>
      <c r="L74" s="1" t="s">
        <v>242</v>
      </c>
      <c r="M74" s="1" t="s">
        <v>118</v>
      </c>
      <c r="N74">
        <v>70492</v>
      </c>
      <c r="O74" s="1" t="s">
        <v>881</v>
      </c>
      <c r="P74" s="1" t="s">
        <v>15</v>
      </c>
      <c r="Q74">
        <v>61839</v>
      </c>
      <c r="R74">
        <f>winners_21___26[[#This Row],[winners 2021.votes]]-winners_21___26[[#This Row],[runner up 2021.votes]]</f>
        <v>21727</v>
      </c>
      <c r="S74">
        <f>winners_21___26[[#This Row],[winners 2026.votes]]-winners_21___26[[#This Row],[runner up 2026.votes]]</f>
        <v>7034</v>
      </c>
      <c r="T74">
        <v>182208</v>
      </c>
      <c r="U74">
        <v>192119</v>
      </c>
      <c r="V74" s="2">
        <f>winners_21___26[[#This Row],[Margin votes 2021]]/winners_21___26[[#This Row],[Total votes 2021.Sum of votes]]</f>
        <v>0.11924284334387074</v>
      </c>
      <c r="W74" s="3">
        <f>(winners_21___26[[#This Row],[Margin votes 2026]]/winners_21___26[[#This Row],[Total votes 2026.Sum of votes]])*100</f>
        <v>3.661272440518637</v>
      </c>
      <c r="X74" t="str">
        <f>IF(winners_21___26[[#This Row],[winners 2021.party]]=winners_21___26[[#This Row],[winners 2026.party]],"Retained","Flipped")</f>
        <v>Flipped</v>
      </c>
    </row>
    <row r="75" spans="1:24" x14ac:dyDescent="0.3">
      <c r="A75" s="1" t="s">
        <v>235</v>
      </c>
      <c r="B75">
        <v>74</v>
      </c>
      <c r="C75" s="1" t="s">
        <v>246</v>
      </c>
      <c r="D75" s="1" t="s">
        <v>13</v>
      </c>
      <c r="E75">
        <v>102271</v>
      </c>
      <c r="F75" s="1" t="s">
        <v>246</v>
      </c>
      <c r="G75" s="1" t="s">
        <v>13</v>
      </c>
      <c r="H75">
        <v>72982</v>
      </c>
      <c r="I75" s="1" t="s">
        <v>235</v>
      </c>
      <c r="J75" s="1" t="s">
        <v>236</v>
      </c>
      <c r="K75" s="1" t="s">
        <v>18</v>
      </c>
      <c r="L75" s="1" t="s">
        <v>882</v>
      </c>
      <c r="M75" s="1" t="s">
        <v>27</v>
      </c>
      <c r="N75">
        <v>87403</v>
      </c>
      <c r="O75" s="1" t="s">
        <v>883</v>
      </c>
      <c r="P75" s="1" t="s">
        <v>15</v>
      </c>
      <c r="Q75">
        <v>68863</v>
      </c>
      <c r="R75">
        <f>winners_21___26[[#This Row],[winners 2021.votes]]-winners_21___26[[#This Row],[runner up 2021.votes]]</f>
        <v>14868</v>
      </c>
      <c r="S75">
        <f>winners_21___26[[#This Row],[winners 2026.votes]]-winners_21___26[[#This Row],[runner up 2026.votes]]</f>
        <v>4119</v>
      </c>
      <c r="T75">
        <v>204860</v>
      </c>
      <c r="U75">
        <v>215422</v>
      </c>
      <c r="V75" s="2">
        <f>winners_21___26[[#This Row],[Margin votes 2021]]/winners_21___26[[#This Row],[Total votes 2021.Sum of votes]]</f>
        <v>7.2576393634677341E-2</v>
      </c>
      <c r="W75" s="3">
        <f>(winners_21___26[[#This Row],[Margin votes 2026]]/winners_21___26[[#This Row],[Total votes 2026.Sum of votes]])*100</f>
        <v>1.9120609779873923</v>
      </c>
      <c r="X75" t="str">
        <f>IF(winners_21___26[[#This Row],[winners 2021.party]]=winners_21___26[[#This Row],[winners 2026.party]],"Retained","Flipped")</f>
        <v>Retained</v>
      </c>
    </row>
    <row r="76" spans="1:24" x14ac:dyDescent="0.3">
      <c r="A76" s="1" t="s">
        <v>247</v>
      </c>
      <c r="B76">
        <v>75</v>
      </c>
      <c r="C76" s="1" t="s">
        <v>248</v>
      </c>
      <c r="D76" s="1" t="s">
        <v>13</v>
      </c>
      <c r="E76">
        <v>93730</v>
      </c>
      <c r="F76" s="1" t="s">
        <v>238</v>
      </c>
      <c r="G76" s="1" t="s">
        <v>198</v>
      </c>
      <c r="H76">
        <v>69727</v>
      </c>
      <c r="I76" s="1" t="s">
        <v>235</v>
      </c>
      <c r="J76" s="1" t="s">
        <v>236</v>
      </c>
      <c r="K76" s="1" t="s">
        <v>18</v>
      </c>
      <c r="L76" s="1" t="s">
        <v>884</v>
      </c>
      <c r="M76" s="1" t="s">
        <v>27</v>
      </c>
      <c r="N76">
        <v>84157</v>
      </c>
      <c r="O76" s="1" t="s">
        <v>885</v>
      </c>
      <c r="P76" s="1" t="s">
        <v>15</v>
      </c>
      <c r="Q76">
        <v>68817</v>
      </c>
      <c r="R76">
        <f>winners_21___26[[#This Row],[winners 2021.votes]]-winners_21___26[[#This Row],[runner up 2021.votes]]</f>
        <v>9573</v>
      </c>
      <c r="S76">
        <f>winners_21___26[[#This Row],[winners 2026.votes]]-winners_21___26[[#This Row],[runner up 2026.votes]]</f>
        <v>910</v>
      </c>
      <c r="T76">
        <v>193617</v>
      </c>
      <c r="U76">
        <v>209231</v>
      </c>
      <c r="V76" s="2">
        <f>winners_21___26[[#This Row],[Margin votes 2021]]/winners_21___26[[#This Row],[Total votes 2021.Sum of votes]]</f>
        <v>4.9442972466260712E-2</v>
      </c>
      <c r="W76" s="3">
        <f>(winners_21___26[[#This Row],[Margin votes 2026]]/winners_21___26[[#This Row],[Total votes 2026.Sum of votes]])*100</f>
        <v>0.4349259908904512</v>
      </c>
      <c r="X76" t="str">
        <f>IF(winners_21___26[[#This Row],[winners 2021.party]]=winners_21___26[[#This Row],[winners 2026.party]],"Retained","Flipped")</f>
        <v>Flipped</v>
      </c>
    </row>
    <row r="77" spans="1:24" x14ac:dyDescent="0.3">
      <c r="A77" s="1" t="s">
        <v>249</v>
      </c>
      <c r="B77">
        <v>76</v>
      </c>
      <c r="C77" s="1" t="s">
        <v>250</v>
      </c>
      <c r="D77" s="1" t="s">
        <v>13</v>
      </c>
      <c r="E77">
        <v>110980</v>
      </c>
      <c r="F77" s="1" t="s">
        <v>251</v>
      </c>
      <c r="G77" s="1" t="s">
        <v>27</v>
      </c>
      <c r="H77">
        <v>73033</v>
      </c>
      <c r="I77" s="1" t="s">
        <v>235</v>
      </c>
      <c r="J77" s="1" t="s">
        <v>236</v>
      </c>
      <c r="K77" s="1" t="s">
        <v>18</v>
      </c>
      <c r="L77" s="1" t="s">
        <v>886</v>
      </c>
      <c r="M77" s="1" t="s">
        <v>324</v>
      </c>
      <c r="N77">
        <v>51300</v>
      </c>
      <c r="O77" s="1" t="s">
        <v>887</v>
      </c>
      <c r="P77" s="1" t="s">
        <v>15</v>
      </c>
      <c r="Q77">
        <v>72748</v>
      </c>
      <c r="R77">
        <f>winners_21___26[[#This Row],[winners 2021.votes]]-winners_21___26[[#This Row],[runner up 2021.votes]]</f>
        <v>59680</v>
      </c>
      <c r="S77">
        <f>winners_21___26[[#This Row],[winners 2026.votes]]-winners_21___26[[#This Row],[runner up 2026.votes]]</f>
        <v>285</v>
      </c>
      <c r="T77">
        <v>196217</v>
      </c>
      <c r="U77">
        <v>217318</v>
      </c>
      <c r="V77" s="2">
        <f>winners_21___26[[#This Row],[Margin votes 2021]]/winners_21___26[[#This Row],[Total votes 2021.Sum of votes]]</f>
        <v>0.30415305503600604</v>
      </c>
      <c r="W77" s="3">
        <f>(winners_21___26[[#This Row],[Margin votes 2026]]/winners_21___26[[#This Row],[Total votes 2026.Sum of votes]])*100</f>
        <v>0.13114422183160163</v>
      </c>
      <c r="X77" t="str">
        <f>IF(winners_21___26[[#This Row],[winners 2021.party]]=winners_21___26[[#This Row],[winners 2026.party]],"Retained","Flipped")</f>
        <v>Flipped</v>
      </c>
    </row>
    <row r="78" spans="1:24" x14ac:dyDescent="0.3">
      <c r="A78" s="1" t="s">
        <v>252</v>
      </c>
      <c r="B78">
        <v>77</v>
      </c>
      <c r="C78" s="1" t="s">
        <v>253</v>
      </c>
      <c r="D78" s="1" t="s">
        <v>13</v>
      </c>
      <c r="E78">
        <v>115451</v>
      </c>
      <c r="F78" s="1" t="s">
        <v>254</v>
      </c>
      <c r="G78" s="1" t="s">
        <v>13</v>
      </c>
      <c r="H78">
        <v>98471</v>
      </c>
      <c r="I78" s="1" t="s">
        <v>235</v>
      </c>
      <c r="J78" s="1" t="s">
        <v>236</v>
      </c>
      <c r="K78" s="1" t="s">
        <v>18</v>
      </c>
      <c r="L78" s="1" t="s">
        <v>888</v>
      </c>
      <c r="M78" s="1" t="s">
        <v>27</v>
      </c>
      <c r="N78">
        <v>110195</v>
      </c>
      <c r="O78" s="1" t="s">
        <v>888</v>
      </c>
      <c r="P78" s="1" t="s">
        <v>27</v>
      </c>
      <c r="Q78">
        <v>96194</v>
      </c>
      <c r="R78">
        <f>winners_21___26[[#This Row],[winners 2021.votes]]-winners_21___26[[#This Row],[runner up 2021.votes]]</f>
        <v>5256</v>
      </c>
      <c r="S78">
        <f>winners_21___26[[#This Row],[winners 2026.votes]]-winners_21___26[[#This Row],[runner up 2026.votes]]</f>
        <v>2277</v>
      </c>
      <c r="T78">
        <v>244853</v>
      </c>
      <c r="U78">
        <v>271002</v>
      </c>
      <c r="V78" s="2">
        <f>winners_21___26[[#This Row],[Margin votes 2021]]/winners_21___26[[#This Row],[Total votes 2021.Sum of votes]]</f>
        <v>2.1465940788963175E-2</v>
      </c>
      <c r="W78" s="3">
        <f>(winners_21___26[[#This Row],[Margin votes 2026]]/winners_21___26[[#This Row],[Total votes 2026.Sum of votes]])*100</f>
        <v>0.84021520136382755</v>
      </c>
      <c r="X78" t="str">
        <f>IF(winners_21___26[[#This Row],[winners 2021.party]]=winners_21___26[[#This Row],[winners 2026.party]],"Retained","Flipped")</f>
        <v>Retained</v>
      </c>
    </row>
    <row r="79" spans="1:24" x14ac:dyDescent="0.3">
      <c r="A79" s="1" t="s">
        <v>255</v>
      </c>
      <c r="B79">
        <v>78</v>
      </c>
      <c r="C79" s="1" t="s">
        <v>256</v>
      </c>
      <c r="D79" s="1" t="s">
        <v>13</v>
      </c>
      <c r="E79">
        <v>113912</v>
      </c>
      <c r="F79" s="1" t="s">
        <v>256</v>
      </c>
      <c r="G79" s="1" t="s">
        <v>13</v>
      </c>
      <c r="H79">
        <v>89711</v>
      </c>
      <c r="I79" s="1" t="s">
        <v>235</v>
      </c>
      <c r="J79" s="1" t="s">
        <v>236</v>
      </c>
      <c r="K79" s="1" t="s">
        <v>18</v>
      </c>
      <c r="L79" s="1" t="s">
        <v>889</v>
      </c>
      <c r="M79" s="1" t="s">
        <v>27</v>
      </c>
      <c r="N79">
        <v>72184</v>
      </c>
      <c r="O79" s="1" t="s">
        <v>890</v>
      </c>
      <c r="P79" s="1" t="s">
        <v>15</v>
      </c>
      <c r="Q79">
        <v>84849</v>
      </c>
      <c r="R79">
        <f>winners_21___26[[#This Row],[winners 2021.votes]]-winners_21___26[[#This Row],[runner up 2021.votes]]</f>
        <v>41728</v>
      </c>
      <c r="S79">
        <f>winners_21___26[[#This Row],[winners 2026.votes]]-winners_21___26[[#This Row],[runner up 2026.votes]]</f>
        <v>4862</v>
      </c>
      <c r="T79">
        <v>215106</v>
      </c>
      <c r="U79">
        <v>244795</v>
      </c>
      <c r="V79" s="2">
        <f>winners_21___26[[#This Row],[Margin votes 2021]]/winners_21___26[[#This Row],[Total votes 2021.Sum of votes]]</f>
        <v>0.19398808029529627</v>
      </c>
      <c r="W79" s="3">
        <f>(winners_21___26[[#This Row],[Margin votes 2026]]/winners_21___26[[#This Row],[Total votes 2026.Sum of votes]])*100</f>
        <v>1.9861516779345982</v>
      </c>
      <c r="X79" t="str">
        <f>IF(winners_21___26[[#This Row],[winners 2021.party]]=winners_21___26[[#This Row],[winners 2026.party]],"Retained","Flipped")</f>
        <v>Retained</v>
      </c>
    </row>
    <row r="80" spans="1:24" x14ac:dyDescent="0.3">
      <c r="A80" s="1" t="s">
        <v>257</v>
      </c>
      <c r="B80">
        <v>79</v>
      </c>
      <c r="C80" s="1" t="s">
        <v>258</v>
      </c>
      <c r="D80" s="1" t="s">
        <v>13</v>
      </c>
      <c r="E80">
        <v>121186</v>
      </c>
      <c r="F80" s="1" t="s">
        <v>259</v>
      </c>
      <c r="G80" s="1" t="s">
        <v>27</v>
      </c>
      <c r="H80">
        <v>80250</v>
      </c>
      <c r="I80" s="1" t="s">
        <v>235</v>
      </c>
      <c r="J80" s="1" t="s">
        <v>236</v>
      </c>
      <c r="K80" s="1" t="s">
        <v>18</v>
      </c>
      <c r="L80" s="1" t="s">
        <v>891</v>
      </c>
      <c r="M80" s="1" t="s">
        <v>198</v>
      </c>
      <c r="N80">
        <v>75223</v>
      </c>
      <c r="O80" s="1" t="s">
        <v>258</v>
      </c>
      <c r="P80" s="1" t="s">
        <v>13</v>
      </c>
      <c r="Q80">
        <v>76810</v>
      </c>
      <c r="R80">
        <f>winners_21___26[[#This Row],[winners 2021.votes]]-winners_21___26[[#This Row],[runner up 2021.votes]]</f>
        <v>45963</v>
      </c>
      <c r="S80">
        <f>winners_21___26[[#This Row],[winners 2026.votes]]-winners_21___26[[#This Row],[runner up 2026.votes]]</f>
        <v>3440</v>
      </c>
      <c r="T80">
        <v>215802</v>
      </c>
      <c r="U80">
        <v>235528</v>
      </c>
      <c r="V80" s="2">
        <f>winners_21___26[[#This Row],[Margin votes 2021]]/winners_21___26[[#This Row],[Total votes 2021.Sum of votes]]</f>
        <v>0.21298690466260739</v>
      </c>
      <c r="W80" s="3">
        <f>(winners_21___26[[#This Row],[Margin votes 2026]]/winners_21___26[[#This Row],[Total votes 2026.Sum of votes]])*100</f>
        <v>1.4605482150742164</v>
      </c>
      <c r="X80" t="str">
        <f>IF(winners_21___26[[#This Row],[winners 2021.party]]=winners_21___26[[#This Row],[winners 2026.party]],"Retained","Flipped")</f>
        <v>Flipped</v>
      </c>
    </row>
    <row r="81" spans="1:24" x14ac:dyDescent="0.3">
      <c r="A81" s="1" t="s">
        <v>260</v>
      </c>
      <c r="B81">
        <v>80</v>
      </c>
      <c r="C81" s="1" t="s">
        <v>261</v>
      </c>
      <c r="D81" s="1" t="s">
        <v>27</v>
      </c>
      <c r="E81">
        <v>110643</v>
      </c>
      <c r="F81" s="1" t="s">
        <v>262</v>
      </c>
      <c r="G81" s="1" t="s">
        <v>15</v>
      </c>
      <c r="H81">
        <v>81132</v>
      </c>
      <c r="I81" s="1" t="s">
        <v>235</v>
      </c>
      <c r="J81" s="1" t="s">
        <v>236</v>
      </c>
      <c r="K81" s="1" t="s">
        <v>23</v>
      </c>
      <c r="L81" s="1" t="s">
        <v>892</v>
      </c>
      <c r="M81" s="1" t="s">
        <v>21</v>
      </c>
      <c r="N81">
        <v>84752</v>
      </c>
      <c r="O81" s="1" t="s">
        <v>893</v>
      </c>
      <c r="P81" s="1" t="s">
        <v>27</v>
      </c>
      <c r="Q81">
        <v>80334</v>
      </c>
      <c r="R81">
        <f>winners_21___26[[#This Row],[winners 2021.votes]]-winners_21___26[[#This Row],[runner up 2021.votes]]</f>
        <v>25891</v>
      </c>
      <c r="S81">
        <f>winners_21___26[[#This Row],[winners 2026.votes]]-winners_21___26[[#This Row],[runner up 2026.votes]]</f>
        <v>798</v>
      </c>
      <c r="T81">
        <v>225858</v>
      </c>
      <c r="U81">
        <v>249626</v>
      </c>
      <c r="V81" s="2">
        <f>winners_21___26[[#This Row],[Margin votes 2021]]/winners_21___26[[#This Row],[Total votes 2021.Sum of votes]]</f>
        <v>0.11463397355860762</v>
      </c>
      <c r="W81" s="3">
        <f>(winners_21___26[[#This Row],[Margin votes 2026]]/winners_21___26[[#This Row],[Total votes 2026.Sum of votes]])*100</f>
        <v>0.31967823864501294</v>
      </c>
      <c r="X81" t="str">
        <f>IF(winners_21___26[[#This Row],[winners 2021.party]]=winners_21___26[[#This Row],[winners 2026.party]],"Retained","Flipped")</f>
        <v>Flipped</v>
      </c>
    </row>
    <row r="82" spans="1:24" x14ac:dyDescent="0.3">
      <c r="A82" s="1" t="s">
        <v>263</v>
      </c>
      <c r="B82">
        <v>81</v>
      </c>
      <c r="C82" s="1" t="s">
        <v>264</v>
      </c>
      <c r="D82" s="1" t="s">
        <v>27</v>
      </c>
      <c r="E82">
        <v>89568</v>
      </c>
      <c r="F82" s="1" t="s">
        <v>265</v>
      </c>
      <c r="G82" s="1" t="s">
        <v>27</v>
      </c>
      <c r="H82">
        <v>73167</v>
      </c>
      <c r="I82" s="1" t="s">
        <v>266</v>
      </c>
      <c r="J82" s="1" t="s">
        <v>236</v>
      </c>
      <c r="K82" s="1" t="s">
        <v>23</v>
      </c>
      <c r="L82" s="1" t="s">
        <v>894</v>
      </c>
      <c r="M82" s="1" t="s">
        <v>13</v>
      </c>
      <c r="N82">
        <v>82207</v>
      </c>
      <c r="O82" s="1" t="s">
        <v>895</v>
      </c>
      <c r="P82" s="1" t="s">
        <v>13</v>
      </c>
      <c r="Q82">
        <v>58763</v>
      </c>
      <c r="R82">
        <f>winners_21___26[[#This Row],[winners 2021.votes]]-winners_21___26[[#This Row],[runner up 2021.votes]]</f>
        <v>7361</v>
      </c>
      <c r="S82">
        <f>winners_21___26[[#This Row],[winners 2026.votes]]-winners_21___26[[#This Row],[runner up 2026.votes]]</f>
        <v>14404</v>
      </c>
      <c r="T82">
        <v>186503</v>
      </c>
      <c r="U82">
        <v>196679</v>
      </c>
      <c r="V82" s="2">
        <f>winners_21___26[[#This Row],[Margin votes 2021]]/winners_21___26[[#This Row],[Total votes 2021.Sum of votes]]</f>
        <v>3.9468534018219543E-2</v>
      </c>
      <c r="W82" s="3">
        <f>(winners_21___26[[#This Row],[Margin votes 2026]]/winners_21___26[[#This Row],[Total votes 2026.Sum of votes]])*100</f>
        <v>7.3236085194657283</v>
      </c>
      <c r="X82" t="str">
        <f>IF(winners_21___26[[#This Row],[winners 2021.party]]=winners_21___26[[#This Row],[winners 2026.party]],"Retained","Flipped")</f>
        <v>Retained</v>
      </c>
    </row>
    <row r="83" spans="1:24" x14ac:dyDescent="0.3">
      <c r="A83" s="1" t="s">
        <v>267</v>
      </c>
      <c r="B83">
        <v>82</v>
      </c>
      <c r="C83" s="1" t="s">
        <v>268</v>
      </c>
      <c r="D83" s="1" t="s">
        <v>27</v>
      </c>
      <c r="E83">
        <v>95308</v>
      </c>
      <c r="F83" s="1" t="s">
        <v>269</v>
      </c>
      <c r="G83" s="1" t="s">
        <v>27</v>
      </c>
      <c r="H83">
        <v>80843</v>
      </c>
      <c r="I83" s="1" t="s">
        <v>266</v>
      </c>
      <c r="J83" s="1" t="s">
        <v>236</v>
      </c>
      <c r="K83" s="1" t="s">
        <v>23</v>
      </c>
      <c r="L83" s="1" t="s">
        <v>896</v>
      </c>
      <c r="M83" s="1" t="s">
        <v>13</v>
      </c>
      <c r="N83">
        <v>87051</v>
      </c>
      <c r="O83" s="1" t="s">
        <v>897</v>
      </c>
      <c r="P83" s="1" t="s">
        <v>15</v>
      </c>
      <c r="Q83">
        <v>65525</v>
      </c>
      <c r="R83">
        <f>winners_21___26[[#This Row],[winners 2021.votes]]-winners_21___26[[#This Row],[runner up 2021.votes]]</f>
        <v>8257</v>
      </c>
      <c r="S83">
        <f>winners_21___26[[#This Row],[winners 2026.votes]]-winners_21___26[[#This Row],[runner up 2026.votes]]</f>
        <v>15318</v>
      </c>
      <c r="T83">
        <v>199743</v>
      </c>
      <c r="U83">
        <v>208296</v>
      </c>
      <c r="V83" s="2">
        <f>winners_21___26[[#This Row],[Margin votes 2021]]/winners_21___26[[#This Row],[Total votes 2021.Sum of votes]]</f>
        <v>4.1338119483536342E-2</v>
      </c>
      <c r="W83" s="3">
        <f>(winners_21___26[[#This Row],[Margin votes 2026]]/winners_21___26[[#This Row],[Total votes 2026.Sum of votes]])*100</f>
        <v>7.3539578292430008</v>
      </c>
      <c r="X83" t="str">
        <f>IF(winners_21___26[[#This Row],[winners 2021.party]]=winners_21___26[[#This Row],[winners 2026.party]],"Retained","Flipped")</f>
        <v>Retained</v>
      </c>
    </row>
    <row r="84" spans="1:24" x14ac:dyDescent="0.3">
      <c r="A84" s="1" t="s">
        <v>270</v>
      </c>
      <c r="B84">
        <v>83</v>
      </c>
      <c r="C84" s="1" t="s">
        <v>271</v>
      </c>
      <c r="D84" s="1" t="s">
        <v>27</v>
      </c>
      <c r="E84">
        <v>121561</v>
      </c>
      <c r="F84" s="1" t="s">
        <v>272</v>
      </c>
      <c r="G84" s="1" t="s">
        <v>27</v>
      </c>
      <c r="H84">
        <v>87772</v>
      </c>
      <c r="I84" s="1" t="s">
        <v>266</v>
      </c>
      <c r="J84" s="1" t="s">
        <v>236</v>
      </c>
      <c r="K84" s="1" t="s">
        <v>273</v>
      </c>
      <c r="L84" s="1" t="s">
        <v>898</v>
      </c>
      <c r="M84" s="1" t="s">
        <v>13</v>
      </c>
      <c r="N84">
        <v>95606</v>
      </c>
      <c r="O84" s="1" t="s">
        <v>899</v>
      </c>
      <c r="P84" s="1" t="s">
        <v>15</v>
      </c>
      <c r="Q84">
        <v>85583</v>
      </c>
      <c r="R84">
        <f>winners_21___26[[#This Row],[winners 2021.votes]]-winners_21___26[[#This Row],[runner up 2021.votes]]</f>
        <v>25955</v>
      </c>
      <c r="S84">
        <f>winners_21___26[[#This Row],[winners 2026.votes]]-winners_21___26[[#This Row],[runner up 2026.votes]]</f>
        <v>2189</v>
      </c>
      <c r="T84">
        <v>238924</v>
      </c>
      <c r="U84">
        <v>253592</v>
      </c>
      <c r="V84" s="2">
        <f>winners_21___26[[#This Row],[Margin votes 2021]]/winners_21___26[[#This Row],[Total votes 2021.Sum of votes]]</f>
        <v>0.10863287070365472</v>
      </c>
      <c r="W84" s="3">
        <f>(winners_21___26[[#This Row],[Margin votes 2026]]/winners_21___26[[#This Row],[Total votes 2026.Sum of votes]])*100</f>
        <v>0.8631975772106375</v>
      </c>
      <c r="X84" t="str">
        <f>IF(winners_21___26[[#This Row],[winners 2021.party]]=winners_21___26[[#This Row],[winners 2026.party]],"Retained","Flipped")</f>
        <v>Retained</v>
      </c>
    </row>
    <row r="85" spans="1:24" x14ac:dyDescent="0.3">
      <c r="A85" s="1" t="s">
        <v>274</v>
      </c>
      <c r="B85">
        <v>84</v>
      </c>
      <c r="C85" s="1" t="s">
        <v>275</v>
      </c>
      <c r="D85" s="1" t="s">
        <v>27</v>
      </c>
      <c r="E85">
        <v>142488</v>
      </c>
      <c r="F85" s="1" t="s">
        <v>276</v>
      </c>
      <c r="G85" s="1" t="s">
        <v>27</v>
      </c>
      <c r="H85">
        <v>112246</v>
      </c>
      <c r="I85" s="1" t="s">
        <v>266</v>
      </c>
      <c r="J85" s="1" t="s">
        <v>236</v>
      </c>
      <c r="K85" s="1" t="s">
        <v>18</v>
      </c>
      <c r="L85" s="1" t="s">
        <v>900</v>
      </c>
      <c r="M85" s="1" t="s">
        <v>21</v>
      </c>
      <c r="N85">
        <v>87194</v>
      </c>
      <c r="O85" s="1" t="s">
        <v>901</v>
      </c>
      <c r="P85" s="1" t="s">
        <v>15</v>
      </c>
      <c r="Q85">
        <v>97707</v>
      </c>
      <c r="R85">
        <f>winners_21___26[[#This Row],[winners 2021.votes]]-winners_21___26[[#This Row],[runner up 2021.votes]]</f>
        <v>55294</v>
      </c>
      <c r="S85">
        <f>winners_21___26[[#This Row],[winners 2026.votes]]-winners_21___26[[#This Row],[runner up 2026.votes]]</f>
        <v>14539</v>
      </c>
      <c r="T85">
        <v>249027</v>
      </c>
      <c r="U85">
        <v>271119</v>
      </c>
      <c r="V85" s="2">
        <f>winners_21___26[[#This Row],[Margin votes 2021]]/winners_21___26[[#This Row],[Total votes 2021.Sum of votes]]</f>
        <v>0.22204018038204693</v>
      </c>
      <c r="W85" s="3">
        <f>(winners_21___26[[#This Row],[Margin votes 2026]]/winners_21___26[[#This Row],[Total votes 2026.Sum of votes]])*100</f>
        <v>5.3625898590655767</v>
      </c>
      <c r="X85" t="str">
        <f>IF(winners_21___26[[#This Row],[winners 2021.party]]=winners_21___26[[#This Row],[winners 2026.party]],"Retained","Flipped")</f>
        <v>Retained</v>
      </c>
    </row>
    <row r="86" spans="1:24" x14ac:dyDescent="0.3">
      <c r="A86" s="1" t="s">
        <v>277</v>
      </c>
      <c r="B86">
        <v>85</v>
      </c>
      <c r="C86" s="1" t="s">
        <v>278</v>
      </c>
      <c r="D86" s="1" t="s">
        <v>198</v>
      </c>
      <c r="E86">
        <v>97055</v>
      </c>
      <c r="F86" s="1" t="s">
        <v>279</v>
      </c>
      <c r="G86" s="1" t="s">
        <v>27</v>
      </c>
      <c r="H86">
        <v>86498</v>
      </c>
      <c r="I86" s="1" t="s">
        <v>266</v>
      </c>
      <c r="J86" s="1" t="s">
        <v>236</v>
      </c>
      <c r="K86" s="1" t="s">
        <v>18</v>
      </c>
      <c r="L86" s="1" t="s">
        <v>902</v>
      </c>
      <c r="M86" s="1" t="s">
        <v>13</v>
      </c>
      <c r="N86">
        <v>96399</v>
      </c>
      <c r="O86" s="1" t="s">
        <v>903</v>
      </c>
      <c r="P86" s="1" t="s">
        <v>13</v>
      </c>
      <c r="Q86">
        <v>67393</v>
      </c>
      <c r="R86">
        <f>winners_21___26[[#This Row],[winners 2021.votes]]-winners_21___26[[#This Row],[runner up 2021.votes]]</f>
        <v>656</v>
      </c>
      <c r="S86">
        <f>winners_21___26[[#This Row],[winners 2026.votes]]-winners_21___26[[#This Row],[runner up 2026.votes]]</f>
        <v>19105</v>
      </c>
      <c r="T86">
        <v>218442</v>
      </c>
      <c r="U86">
        <v>231105</v>
      </c>
      <c r="V86" s="2">
        <f>winners_21___26[[#This Row],[Margin votes 2021]]/winners_21___26[[#This Row],[Total votes 2021.Sum of votes]]</f>
        <v>3.0030854872231533E-3</v>
      </c>
      <c r="W86" s="3">
        <f>(winners_21___26[[#This Row],[Margin votes 2026]]/winners_21___26[[#This Row],[Total votes 2026.Sum of votes]])*100</f>
        <v>8.2668051318664677</v>
      </c>
      <c r="X86" t="str">
        <f>IF(winners_21___26[[#This Row],[winners 2021.party]]=winners_21___26[[#This Row],[winners 2026.party]],"Retained","Flipped")</f>
        <v>Flipped</v>
      </c>
    </row>
    <row r="87" spans="1:24" x14ac:dyDescent="0.3">
      <c r="A87" s="1" t="s">
        <v>280</v>
      </c>
      <c r="B87">
        <v>86</v>
      </c>
      <c r="C87" s="1" t="s">
        <v>281</v>
      </c>
      <c r="D87" s="1" t="s">
        <v>27</v>
      </c>
      <c r="E87">
        <v>163154</v>
      </c>
      <c r="F87" s="1" t="s">
        <v>281</v>
      </c>
      <c r="G87" s="1" t="s">
        <v>27</v>
      </c>
      <c r="H87">
        <v>148933</v>
      </c>
      <c r="I87" s="1" t="s">
        <v>266</v>
      </c>
      <c r="J87" s="1" t="s">
        <v>236</v>
      </c>
      <c r="K87" s="1" t="s">
        <v>18</v>
      </c>
      <c r="L87" s="1" t="s">
        <v>904</v>
      </c>
      <c r="M87" s="1" t="s">
        <v>13</v>
      </c>
      <c r="N87">
        <v>69352</v>
      </c>
      <c r="O87" s="1" t="s">
        <v>905</v>
      </c>
      <c r="P87" s="1" t="s">
        <v>906</v>
      </c>
      <c r="Q87">
        <v>50823</v>
      </c>
      <c r="R87">
        <f>winners_21___26[[#This Row],[winners 2021.votes]]-winners_21___26[[#This Row],[runner up 2021.votes]]</f>
        <v>93802</v>
      </c>
      <c r="S87">
        <f>winners_21___26[[#This Row],[winners 2026.votes]]-winners_21___26[[#This Row],[runner up 2026.votes]]</f>
        <v>98110</v>
      </c>
      <c r="T87">
        <v>247301</v>
      </c>
      <c r="U87">
        <v>258263</v>
      </c>
      <c r="V87" s="2">
        <f>winners_21___26[[#This Row],[Margin votes 2021]]/winners_21___26[[#This Row],[Total votes 2021.Sum of votes]]</f>
        <v>0.37930295469892966</v>
      </c>
      <c r="W87" s="3">
        <f>(winners_21___26[[#This Row],[Margin votes 2026]]/winners_21___26[[#This Row],[Total votes 2026.Sum of votes]])*100</f>
        <v>37.988407166338192</v>
      </c>
      <c r="X87" t="str">
        <f>IF(winners_21___26[[#This Row],[winners 2021.party]]=winners_21___26[[#This Row],[winners 2026.party]],"Retained","Flipped")</f>
        <v>Retained</v>
      </c>
    </row>
    <row r="88" spans="1:24" x14ac:dyDescent="0.3">
      <c r="A88" s="1" t="s">
        <v>282</v>
      </c>
      <c r="B88">
        <v>87</v>
      </c>
      <c r="C88" s="1" t="s">
        <v>283</v>
      </c>
      <c r="D88" s="1" t="s">
        <v>27</v>
      </c>
      <c r="E88">
        <v>115472</v>
      </c>
      <c r="F88" s="1" t="s">
        <v>284</v>
      </c>
      <c r="G88" s="1" t="s">
        <v>27</v>
      </c>
      <c r="H88">
        <v>87342</v>
      </c>
      <c r="I88" s="1" t="s">
        <v>266</v>
      </c>
      <c r="J88" s="1" t="s">
        <v>236</v>
      </c>
      <c r="K88" s="1" t="s">
        <v>18</v>
      </c>
      <c r="L88" s="1" t="s">
        <v>907</v>
      </c>
      <c r="M88" s="1" t="s">
        <v>13</v>
      </c>
      <c r="N88">
        <v>95427</v>
      </c>
      <c r="O88" s="1" t="s">
        <v>908</v>
      </c>
      <c r="P88" s="1" t="s">
        <v>15</v>
      </c>
      <c r="Q88">
        <v>77825</v>
      </c>
      <c r="R88">
        <f>winners_21___26[[#This Row],[winners 2021.votes]]-winners_21___26[[#This Row],[runner up 2021.votes]]</f>
        <v>20045</v>
      </c>
      <c r="S88">
        <f>winners_21___26[[#This Row],[winners 2026.votes]]-winners_21___26[[#This Row],[runner up 2026.votes]]</f>
        <v>9517</v>
      </c>
      <c r="T88">
        <v>232247</v>
      </c>
      <c r="U88">
        <v>243779</v>
      </c>
      <c r="V88" s="2">
        <f>winners_21___26[[#This Row],[Margin votes 2021]]/winners_21___26[[#This Row],[Total votes 2021.Sum of votes]]</f>
        <v>8.6308972774675238E-2</v>
      </c>
      <c r="W88" s="3">
        <f>(winners_21___26[[#This Row],[Margin votes 2026]]/winners_21___26[[#This Row],[Total votes 2026.Sum of votes]])*100</f>
        <v>3.9039457869627823</v>
      </c>
      <c r="X88" t="str">
        <f>IF(winners_21___26[[#This Row],[winners 2021.party]]=winners_21___26[[#This Row],[winners 2026.party]],"Retained","Flipped")</f>
        <v>Retained</v>
      </c>
    </row>
    <row r="89" spans="1:24" x14ac:dyDescent="0.3">
      <c r="A89" s="1" t="s">
        <v>285</v>
      </c>
      <c r="B89">
        <v>88</v>
      </c>
      <c r="C89" s="1" t="s">
        <v>286</v>
      </c>
      <c r="D89" s="1" t="s">
        <v>198</v>
      </c>
      <c r="E89">
        <v>105483</v>
      </c>
      <c r="F89" s="1" t="s">
        <v>287</v>
      </c>
      <c r="G89" s="1" t="s">
        <v>15</v>
      </c>
      <c r="H89">
        <v>120407</v>
      </c>
      <c r="I89" s="1" t="s">
        <v>266</v>
      </c>
      <c r="J89" s="1" t="s">
        <v>236</v>
      </c>
      <c r="K89" s="1" t="s">
        <v>18</v>
      </c>
      <c r="L89" s="1" t="s">
        <v>909</v>
      </c>
      <c r="M89" s="1" t="s">
        <v>13</v>
      </c>
      <c r="N89">
        <v>83984</v>
      </c>
      <c r="O89" s="1" t="s">
        <v>910</v>
      </c>
      <c r="P89" s="1" t="s">
        <v>198</v>
      </c>
      <c r="Q89">
        <v>45540</v>
      </c>
      <c r="R89">
        <f>winners_21___26[[#This Row],[winners 2021.votes]]-winners_21___26[[#This Row],[runner up 2021.votes]]</f>
        <v>21499</v>
      </c>
      <c r="S89">
        <f>winners_21___26[[#This Row],[winners 2026.votes]]-winners_21___26[[#This Row],[runner up 2026.votes]]</f>
        <v>74867</v>
      </c>
      <c r="T89">
        <v>216628</v>
      </c>
      <c r="U89">
        <v>234407</v>
      </c>
      <c r="V89" s="2">
        <f>winners_21___26[[#This Row],[Margin votes 2021]]/winners_21___26[[#This Row],[Total votes 2021.Sum of votes]]</f>
        <v>9.9243865058995143E-2</v>
      </c>
      <c r="W89" s="3">
        <f>(winners_21___26[[#This Row],[Margin votes 2026]]/winners_21___26[[#This Row],[Total votes 2026.Sum of votes]])*100</f>
        <v>31.938892609862336</v>
      </c>
      <c r="X89" t="str">
        <f>IF(winners_21___26[[#This Row],[winners 2021.party]]=winners_21___26[[#This Row],[winners 2026.party]],"Retained","Flipped")</f>
        <v>Flipped</v>
      </c>
    </row>
    <row r="90" spans="1:24" x14ac:dyDescent="0.3">
      <c r="A90" s="1" t="s">
        <v>288</v>
      </c>
      <c r="B90">
        <v>89</v>
      </c>
      <c r="C90" s="1" t="s">
        <v>289</v>
      </c>
      <c r="D90" s="1" t="s">
        <v>13</v>
      </c>
      <c r="E90">
        <v>93432</v>
      </c>
      <c r="F90" s="1" t="s">
        <v>290</v>
      </c>
      <c r="G90" s="1" t="s">
        <v>15</v>
      </c>
      <c r="H90">
        <v>85710</v>
      </c>
      <c r="I90" s="1" t="s">
        <v>266</v>
      </c>
      <c r="J90" s="1" t="s">
        <v>236</v>
      </c>
      <c r="K90" s="1" t="s">
        <v>18</v>
      </c>
      <c r="L90" s="1" t="s">
        <v>911</v>
      </c>
      <c r="M90" s="1" t="s">
        <v>27</v>
      </c>
      <c r="N90">
        <v>85844</v>
      </c>
      <c r="O90" s="1" t="s">
        <v>912</v>
      </c>
      <c r="P90" s="1" t="s">
        <v>13</v>
      </c>
      <c r="Q90">
        <v>71676</v>
      </c>
      <c r="R90">
        <f>winners_21___26[[#This Row],[winners 2021.votes]]-winners_21___26[[#This Row],[runner up 2021.votes]]</f>
        <v>7588</v>
      </c>
      <c r="S90">
        <f>winners_21___26[[#This Row],[winners 2026.votes]]-winners_21___26[[#This Row],[runner up 2026.votes]]</f>
        <v>14034</v>
      </c>
      <c r="T90">
        <v>202376</v>
      </c>
      <c r="U90">
        <v>210712</v>
      </c>
      <c r="V90" s="2">
        <f>winners_21___26[[#This Row],[Margin votes 2021]]/winners_21___26[[#This Row],[Total votes 2021.Sum of votes]]</f>
        <v>3.7494564572874256E-2</v>
      </c>
      <c r="W90" s="3">
        <f>(winners_21___26[[#This Row],[Margin votes 2026]]/winners_21___26[[#This Row],[Total votes 2026.Sum of votes]])*100</f>
        <v>6.6602756368882643</v>
      </c>
      <c r="X90" t="str">
        <f>IF(winners_21___26[[#This Row],[winners 2021.party]]=winners_21___26[[#This Row],[winners 2026.party]],"Retained","Flipped")</f>
        <v>Flipped</v>
      </c>
    </row>
    <row r="91" spans="1:24" x14ac:dyDescent="0.3">
      <c r="A91" s="1" t="s">
        <v>291</v>
      </c>
      <c r="B91">
        <v>90</v>
      </c>
      <c r="C91" s="1" t="s">
        <v>292</v>
      </c>
      <c r="D91" s="1" t="s">
        <v>27</v>
      </c>
      <c r="E91">
        <v>97506</v>
      </c>
      <c r="F91" s="1" t="s">
        <v>293</v>
      </c>
      <c r="G91" s="1" t="s">
        <v>15</v>
      </c>
      <c r="H91">
        <v>91371</v>
      </c>
      <c r="I91" s="1" t="s">
        <v>266</v>
      </c>
      <c r="J91" s="1" t="s">
        <v>236</v>
      </c>
      <c r="K91" s="1" t="s">
        <v>18</v>
      </c>
      <c r="L91" s="1" t="s">
        <v>913</v>
      </c>
      <c r="M91" s="1" t="s">
        <v>13</v>
      </c>
      <c r="N91">
        <v>74897</v>
      </c>
      <c r="O91" s="1" t="s">
        <v>914</v>
      </c>
      <c r="P91" s="1" t="s">
        <v>13</v>
      </c>
      <c r="Q91">
        <v>58002</v>
      </c>
      <c r="R91">
        <f>winners_21___26[[#This Row],[winners 2021.votes]]-winners_21___26[[#This Row],[runner up 2021.votes]]</f>
        <v>22609</v>
      </c>
      <c r="S91">
        <f>winners_21___26[[#This Row],[winners 2026.votes]]-winners_21___26[[#This Row],[runner up 2026.votes]]</f>
        <v>33369</v>
      </c>
      <c r="T91">
        <v>199982</v>
      </c>
      <c r="U91">
        <v>207902</v>
      </c>
      <c r="V91" s="2">
        <f>winners_21___26[[#This Row],[Margin votes 2021]]/winners_21___26[[#This Row],[Total votes 2021.Sum of votes]]</f>
        <v>0.11305517496574692</v>
      </c>
      <c r="W91" s="3">
        <f>(winners_21___26[[#This Row],[Margin votes 2026]]/winners_21___26[[#This Row],[Total votes 2026.Sum of votes]])*100</f>
        <v>16.050350645977431</v>
      </c>
      <c r="X91" t="str">
        <f>IF(winners_21___26[[#This Row],[winners 2021.party]]=winners_21___26[[#This Row],[winners 2026.party]],"Retained","Flipped")</f>
        <v>Flipped</v>
      </c>
    </row>
    <row r="92" spans="1:24" x14ac:dyDescent="0.3">
      <c r="A92" s="1" t="s">
        <v>294</v>
      </c>
      <c r="B92">
        <v>91</v>
      </c>
      <c r="C92" s="1" t="s">
        <v>295</v>
      </c>
      <c r="D92" s="1" t="s">
        <v>27</v>
      </c>
      <c r="E92">
        <v>111682</v>
      </c>
      <c r="F92" s="1" t="s">
        <v>296</v>
      </c>
      <c r="G92" s="1" t="s">
        <v>15</v>
      </c>
      <c r="H92">
        <v>79907</v>
      </c>
      <c r="I92" s="1" t="s">
        <v>266</v>
      </c>
      <c r="J92" s="1" t="s">
        <v>236</v>
      </c>
      <c r="K92" s="1" t="s">
        <v>18</v>
      </c>
      <c r="L92" s="1" t="s">
        <v>915</v>
      </c>
      <c r="M92" s="1" t="s">
        <v>13</v>
      </c>
      <c r="N92">
        <v>91787</v>
      </c>
      <c r="O92" s="1" t="s">
        <v>916</v>
      </c>
      <c r="P92" s="1" t="s">
        <v>27</v>
      </c>
      <c r="Q92">
        <v>75836</v>
      </c>
      <c r="R92">
        <f>winners_21___26[[#This Row],[winners 2021.votes]]-winners_21___26[[#This Row],[runner up 2021.votes]]</f>
        <v>19895</v>
      </c>
      <c r="S92">
        <f>winners_21___26[[#This Row],[winners 2026.votes]]-winners_21___26[[#This Row],[runner up 2026.votes]]</f>
        <v>4071</v>
      </c>
      <c r="T92">
        <v>223702</v>
      </c>
      <c r="U92">
        <v>235875</v>
      </c>
      <c r="V92" s="2">
        <f>winners_21___26[[#This Row],[Margin votes 2021]]/winners_21___26[[#This Row],[Total votes 2021.Sum of votes]]</f>
        <v>8.8935279970675268E-2</v>
      </c>
      <c r="W92" s="3">
        <f>(winners_21___26[[#This Row],[Margin votes 2026]]/winners_21___26[[#This Row],[Total votes 2026.Sum of votes]])*100</f>
        <v>1.7259141494435613</v>
      </c>
      <c r="X92" t="str">
        <f>IF(winners_21___26[[#This Row],[winners 2021.party]]=winners_21___26[[#This Row],[winners 2026.party]],"Retained","Flipped")</f>
        <v>Flipped</v>
      </c>
    </row>
    <row r="93" spans="1:24" x14ac:dyDescent="0.3">
      <c r="A93" s="1" t="s">
        <v>297</v>
      </c>
      <c r="B93">
        <v>92</v>
      </c>
      <c r="C93" s="1" t="s">
        <v>298</v>
      </c>
      <c r="D93" s="1" t="s">
        <v>13</v>
      </c>
      <c r="E93">
        <v>90727</v>
      </c>
      <c r="F93" s="1" t="s">
        <v>299</v>
      </c>
      <c r="G93" s="1" t="s">
        <v>15</v>
      </c>
      <c r="H93">
        <v>74808</v>
      </c>
      <c r="I93" s="1" t="s">
        <v>300</v>
      </c>
      <c r="J93" s="1" t="s">
        <v>236</v>
      </c>
      <c r="K93" s="1" t="s">
        <v>23</v>
      </c>
      <c r="L93" s="1" t="s">
        <v>917</v>
      </c>
      <c r="M93" s="1" t="s">
        <v>27</v>
      </c>
      <c r="N93">
        <v>88775</v>
      </c>
      <c r="O93" s="1" t="s">
        <v>918</v>
      </c>
      <c r="P93" s="1" t="s">
        <v>324</v>
      </c>
      <c r="Q93">
        <v>60297</v>
      </c>
      <c r="R93">
        <f>winners_21___26[[#This Row],[winners 2021.votes]]-winners_21___26[[#This Row],[runner up 2021.votes]]</f>
        <v>1952</v>
      </c>
      <c r="S93">
        <f>winners_21___26[[#This Row],[winners 2026.votes]]-winners_21___26[[#This Row],[runner up 2026.votes]]</f>
        <v>14511</v>
      </c>
      <c r="T93">
        <v>196904</v>
      </c>
      <c r="U93">
        <v>204680</v>
      </c>
      <c r="V93" s="2">
        <f>winners_21___26[[#This Row],[Margin votes 2021]]/winners_21___26[[#This Row],[Total votes 2021.Sum of votes]]</f>
        <v>9.9134603664730019E-3</v>
      </c>
      <c r="W93" s="3">
        <f>(winners_21___26[[#This Row],[Margin votes 2026]]/winners_21___26[[#This Row],[Total votes 2026.Sum of votes]])*100</f>
        <v>7.0896032831737346</v>
      </c>
      <c r="X93" t="str">
        <f>IF(winners_21___26[[#This Row],[winners 2021.party]]=winners_21___26[[#This Row],[winners 2026.party]],"Retained","Flipped")</f>
        <v>Flipped</v>
      </c>
    </row>
    <row r="94" spans="1:24" x14ac:dyDescent="0.3">
      <c r="A94" s="1" t="s">
        <v>301</v>
      </c>
      <c r="B94">
        <v>93</v>
      </c>
      <c r="C94" s="1" t="s">
        <v>302</v>
      </c>
      <c r="D94" s="1" t="s">
        <v>13</v>
      </c>
      <c r="E94">
        <v>90681</v>
      </c>
      <c r="F94" s="1" t="s">
        <v>303</v>
      </c>
      <c r="G94" s="1" t="s">
        <v>15</v>
      </c>
      <c r="H94">
        <v>68815</v>
      </c>
      <c r="I94" s="1" t="s">
        <v>300</v>
      </c>
      <c r="J94" s="1" t="s">
        <v>236</v>
      </c>
      <c r="K94" s="1" t="s">
        <v>273</v>
      </c>
      <c r="L94" s="1" t="s">
        <v>919</v>
      </c>
      <c r="M94" s="1" t="s">
        <v>27</v>
      </c>
      <c r="N94">
        <v>80188</v>
      </c>
      <c r="O94" s="1" t="s">
        <v>920</v>
      </c>
      <c r="P94" s="1" t="s">
        <v>27</v>
      </c>
      <c r="Q94">
        <v>66160</v>
      </c>
      <c r="R94">
        <f>winners_21___26[[#This Row],[winners 2021.votes]]-winners_21___26[[#This Row],[runner up 2021.votes]]</f>
        <v>10493</v>
      </c>
      <c r="S94">
        <f>winners_21___26[[#This Row],[winners 2026.votes]]-winners_21___26[[#This Row],[runner up 2026.votes]]</f>
        <v>2655</v>
      </c>
      <c r="T94">
        <v>199235</v>
      </c>
      <c r="U94">
        <v>209687</v>
      </c>
      <c r="V94" s="2">
        <f>winners_21___26[[#This Row],[Margin votes 2021]]/winners_21___26[[#This Row],[Total votes 2021.Sum of votes]]</f>
        <v>5.2666449168067862E-2</v>
      </c>
      <c r="W94" s="3">
        <f>(winners_21___26[[#This Row],[Margin votes 2026]]/winners_21___26[[#This Row],[Total votes 2026.Sum of votes]])*100</f>
        <v>1.2661729148683514</v>
      </c>
      <c r="X94" t="str">
        <f>IF(winners_21___26[[#This Row],[winners 2021.party]]=winners_21___26[[#This Row],[winners 2026.party]],"Retained","Flipped")</f>
        <v>Flipped</v>
      </c>
    </row>
    <row r="95" spans="1:24" x14ac:dyDescent="0.3">
      <c r="A95" s="1" t="s">
        <v>300</v>
      </c>
      <c r="B95">
        <v>94</v>
      </c>
      <c r="C95" s="1" t="s">
        <v>304</v>
      </c>
      <c r="D95" s="1" t="s">
        <v>13</v>
      </c>
      <c r="E95">
        <v>106494</v>
      </c>
      <c r="F95" s="1" t="s">
        <v>305</v>
      </c>
      <c r="G95" s="1" t="s">
        <v>15</v>
      </c>
      <c r="H95">
        <v>79744</v>
      </c>
      <c r="I95" s="1" t="s">
        <v>300</v>
      </c>
      <c r="J95" s="1" t="s">
        <v>236</v>
      </c>
      <c r="K95" s="1" t="s">
        <v>18</v>
      </c>
      <c r="L95" s="1" t="s">
        <v>921</v>
      </c>
      <c r="M95" s="1" t="s">
        <v>27</v>
      </c>
      <c r="N95">
        <v>78633</v>
      </c>
      <c r="O95" s="1" t="s">
        <v>922</v>
      </c>
      <c r="P95" s="1" t="s">
        <v>27</v>
      </c>
      <c r="Q95">
        <v>68736</v>
      </c>
      <c r="R95">
        <f>winners_21___26[[#This Row],[winners 2021.votes]]-winners_21___26[[#This Row],[runner up 2021.votes]]</f>
        <v>27861</v>
      </c>
      <c r="S95">
        <f>winners_21___26[[#This Row],[winners 2026.votes]]-winners_21___26[[#This Row],[runner up 2026.votes]]</f>
        <v>11008</v>
      </c>
      <c r="T95">
        <v>206759</v>
      </c>
      <c r="U95">
        <v>212283</v>
      </c>
      <c r="V95" s="2">
        <f>winners_21___26[[#This Row],[Margin votes 2021]]/winners_21___26[[#This Row],[Total votes 2021.Sum of votes]]</f>
        <v>0.13475108701435004</v>
      </c>
      <c r="W95" s="3">
        <f>(winners_21___26[[#This Row],[Margin votes 2026]]/winners_21___26[[#This Row],[Total votes 2026.Sum of votes]])*100</f>
        <v>5.1855306359906352</v>
      </c>
      <c r="X95" t="str">
        <f>IF(winners_21___26[[#This Row],[winners 2021.party]]=winners_21___26[[#This Row],[winners 2026.party]],"Retained","Flipped")</f>
        <v>Flipped</v>
      </c>
    </row>
    <row r="96" spans="1:24" x14ac:dyDescent="0.3">
      <c r="A96" s="1" t="s">
        <v>306</v>
      </c>
      <c r="B96">
        <v>95</v>
      </c>
      <c r="C96" s="1" t="s">
        <v>307</v>
      </c>
      <c r="D96" s="1" t="s">
        <v>27</v>
      </c>
      <c r="E96">
        <v>86034</v>
      </c>
      <c r="F96" s="1" t="s">
        <v>307</v>
      </c>
      <c r="G96" s="1" t="s">
        <v>27</v>
      </c>
      <c r="H96">
        <v>61349</v>
      </c>
      <c r="I96" s="1" t="s">
        <v>300</v>
      </c>
      <c r="J96" s="1" t="s">
        <v>236</v>
      </c>
      <c r="K96" s="1" t="s">
        <v>18</v>
      </c>
      <c r="L96" s="1" t="s">
        <v>923</v>
      </c>
      <c r="M96" s="1" t="s">
        <v>13</v>
      </c>
      <c r="N96">
        <v>78372</v>
      </c>
      <c r="O96" s="1" t="s">
        <v>923</v>
      </c>
      <c r="P96" s="1" t="s">
        <v>13</v>
      </c>
      <c r="Q96">
        <v>61041</v>
      </c>
      <c r="R96">
        <f>winners_21___26[[#This Row],[winners 2021.votes]]-winners_21___26[[#This Row],[runner up 2021.votes]]</f>
        <v>7662</v>
      </c>
      <c r="S96">
        <f>winners_21___26[[#This Row],[winners 2026.votes]]-winners_21___26[[#This Row],[runner up 2026.votes]]</f>
        <v>308</v>
      </c>
      <c r="T96">
        <v>183697</v>
      </c>
      <c r="U96">
        <v>188845</v>
      </c>
      <c r="V96" s="2">
        <f>winners_21___26[[#This Row],[Margin votes 2021]]/winners_21___26[[#This Row],[Total votes 2021.Sum of votes]]</f>
        <v>4.1709989820193034E-2</v>
      </c>
      <c r="W96" s="3">
        <f>(winners_21___26[[#This Row],[Margin votes 2026]]/winners_21___26[[#This Row],[Total votes 2026.Sum of votes]])*100</f>
        <v>0.16309671953189123</v>
      </c>
      <c r="X96" t="str">
        <f>IF(winners_21___26[[#This Row],[winners 2021.party]]=winners_21___26[[#This Row],[winners 2026.party]],"Retained","Flipped")</f>
        <v>Retained</v>
      </c>
    </row>
    <row r="97" spans="1:24" x14ac:dyDescent="0.3">
      <c r="A97" s="1" t="s">
        <v>308</v>
      </c>
      <c r="B97">
        <v>96</v>
      </c>
      <c r="C97" s="1" t="s">
        <v>309</v>
      </c>
      <c r="D97" s="1" t="s">
        <v>13</v>
      </c>
      <c r="E97">
        <v>81688</v>
      </c>
      <c r="F97" s="1" t="s">
        <v>310</v>
      </c>
      <c r="G97" s="1" t="s">
        <v>15</v>
      </c>
      <c r="H97">
        <v>79500</v>
      </c>
      <c r="I97" s="1" t="s">
        <v>300</v>
      </c>
      <c r="J97" s="1" t="s">
        <v>236</v>
      </c>
      <c r="K97" s="1" t="s">
        <v>18</v>
      </c>
      <c r="L97" s="1" t="s">
        <v>924</v>
      </c>
      <c r="M97" s="1" t="s">
        <v>27</v>
      </c>
      <c r="N97">
        <v>78826</v>
      </c>
      <c r="O97" s="1" t="s">
        <v>925</v>
      </c>
      <c r="P97" s="1" t="s">
        <v>27</v>
      </c>
      <c r="Q97">
        <v>51328</v>
      </c>
      <c r="R97">
        <f>winners_21___26[[#This Row],[winners 2021.votes]]-winners_21___26[[#This Row],[runner up 2021.votes]]</f>
        <v>2862</v>
      </c>
      <c r="S97">
        <f>winners_21___26[[#This Row],[winners 2026.votes]]-winners_21___26[[#This Row],[runner up 2026.votes]]</f>
        <v>28172</v>
      </c>
      <c r="T97">
        <v>184669</v>
      </c>
      <c r="U97">
        <v>191122</v>
      </c>
      <c r="V97" s="2">
        <f>winners_21___26[[#This Row],[Margin votes 2021]]/winners_21___26[[#This Row],[Total votes 2021.Sum of votes]]</f>
        <v>1.5497999122754767E-2</v>
      </c>
      <c r="W97" s="3">
        <f>(winners_21___26[[#This Row],[Margin votes 2026]]/winners_21___26[[#This Row],[Total votes 2026.Sum of votes]])*100</f>
        <v>14.740322935088582</v>
      </c>
      <c r="X97" t="str">
        <f>IF(winners_21___26[[#This Row],[winners 2021.party]]=winners_21___26[[#This Row],[winners 2026.party]],"Retained","Flipped")</f>
        <v>Flipped</v>
      </c>
    </row>
    <row r="98" spans="1:24" x14ac:dyDescent="0.3">
      <c r="A98" s="1" t="s">
        <v>311</v>
      </c>
      <c r="B98">
        <v>97</v>
      </c>
      <c r="C98" s="1" t="s">
        <v>312</v>
      </c>
      <c r="D98" s="1" t="s">
        <v>27</v>
      </c>
      <c r="E98">
        <v>100800</v>
      </c>
      <c r="F98" s="1" t="s">
        <v>313</v>
      </c>
      <c r="G98" s="1" t="s">
        <v>15</v>
      </c>
      <c r="H98">
        <v>81179</v>
      </c>
      <c r="I98" s="1" t="s">
        <v>300</v>
      </c>
      <c r="J98" s="1" t="s">
        <v>236</v>
      </c>
      <c r="K98" s="1" t="s">
        <v>18</v>
      </c>
      <c r="L98" s="1" t="s">
        <v>926</v>
      </c>
      <c r="M98" s="1" t="s">
        <v>13</v>
      </c>
      <c r="N98">
        <v>69154</v>
      </c>
      <c r="O98" s="1" t="s">
        <v>927</v>
      </c>
      <c r="P98" s="1" t="s">
        <v>27</v>
      </c>
      <c r="Q98">
        <v>73483</v>
      </c>
      <c r="R98">
        <f>winners_21___26[[#This Row],[winners 2021.votes]]-winners_21___26[[#This Row],[runner up 2021.votes]]</f>
        <v>31646</v>
      </c>
      <c r="S98">
        <f>winners_21___26[[#This Row],[winners 2026.votes]]-winners_21___26[[#This Row],[runner up 2026.votes]]</f>
        <v>7696</v>
      </c>
      <c r="T98">
        <v>201925</v>
      </c>
      <c r="U98">
        <v>205324</v>
      </c>
      <c r="V98" s="2">
        <f>winners_21___26[[#This Row],[Margin votes 2021]]/winners_21___26[[#This Row],[Total votes 2021.Sum of votes]]</f>
        <v>0.15672155503280921</v>
      </c>
      <c r="W98" s="3">
        <f>(winners_21___26[[#This Row],[Margin votes 2026]]/winners_21___26[[#This Row],[Total votes 2026.Sum of votes]])*100</f>
        <v>3.7482223217938473</v>
      </c>
      <c r="X98" t="str">
        <f>IF(winners_21___26[[#This Row],[winners 2021.party]]=winners_21___26[[#This Row],[winners 2026.party]],"Retained","Flipped")</f>
        <v>Flipped</v>
      </c>
    </row>
    <row r="99" spans="1:24" x14ac:dyDescent="0.3">
      <c r="A99" s="1" t="s">
        <v>314</v>
      </c>
      <c r="B99">
        <v>98</v>
      </c>
      <c r="C99" s="1" t="s">
        <v>315</v>
      </c>
      <c r="D99" s="1" t="s">
        <v>21</v>
      </c>
      <c r="E99">
        <v>67300</v>
      </c>
      <c r="F99" s="1" t="s">
        <v>316</v>
      </c>
      <c r="G99" s="1" t="s">
        <v>15</v>
      </c>
      <c r="H99">
        <v>69747</v>
      </c>
      <c r="I99" s="1" t="s">
        <v>317</v>
      </c>
      <c r="J99" s="1" t="s">
        <v>318</v>
      </c>
      <c r="K99" s="1" t="s">
        <v>18</v>
      </c>
      <c r="L99" s="1" t="s">
        <v>928</v>
      </c>
      <c r="M99" s="1" t="s">
        <v>27</v>
      </c>
      <c r="N99">
        <v>58396</v>
      </c>
      <c r="O99" s="1" t="s">
        <v>929</v>
      </c>
      <c r="P99" s="1" t="s">
        <v>21</v>
      </c>
      <c r="Q99">
        <v>45781</v>
      </c>
      <c r="R99">
        <f>winners_21___26[[#This Row],[winners 2021.votes]]-winners_21___26[[#This Row],[runner up 2021.votes]]</f>
        <v>8904</v>
      </c>
      <c r="S99">
        <f>winners_21___26[[#This Row],[winners 2026.votes]]-winners_21___26[[#This Row],[runner up 2026.votes]]</f>
        <v>23966</v>
      </c>
      <c r="T99">
        <v>152037</v>
      </c>
      <c r="U99">
        <v>162453</v>
      </c>
      <c r="V99" s="2">
        <f>winners_21___26[[#This Row],[Margin votes 2021]]/winners_21___26[[#This Row],[Total votes 2021.Sum of votes]]</f>
        <v>5.8564691489571614E-2</v>
      </c>
      <c r="W99" s="3">
        <f>(winners_21___26[[#This Row],[Margin votes 2026]]/winners_21___26[[#This Row],[Total votes 2026.Sum of votes]])*100</f>
        <v>14.752574590804727</v>
      </c>
      <c r="X99" t="str">
        <f>IF(winners_21___26[[#This Row],[winners 2021.party]]=winners_21___26[[#This Row],[winners 2026.party]],"Retained","Flipped")</f>
        <v>Flipped</v>
      </c>
    </row>
    <row r="100" spans="1:24" x14ac:dyDescent="0.3">
      <c r="A100" s="1" t="s">
        <v>319</v>
      </c>
      <c r="B100">
        <v>99</v>
      </c>
      <c r="C100" s="1" t="s">
        <v>320</v>
      </c>
      <c r="D100" s="1" t="s">
        <v>13</v>
      </c>
      <c r="E100">
        <v>100757</v>
      </c>
      <c r="F100" s="1" t="s">
        <v>321</v>
      </c>
      <c r="G100" s="1" t="s">
        <v>15</v>
      </c>
      <c r="H100">
        <v>96836</v>
      </c>
      <c r="I100" s="1" t="s">
        <v>317</v>
      </c>
      <c r="J100" s="1" t="s">
        <v>318</v>
      </c>
      <c r="K100" s="1" t="s">
        <v>18</v>
      </c>
      <c r="L100" s="1" t="s">
        <v>930</v>
      </c>
      <c r="M100" s="1" t="s">
        <v>27</v>
      </c>
      <c r="N100">
        <v>78668</v>
      </c>
      <c r="O100" s="1" t="s">
        <v>931</v>
      </c>
      <c r="P100" s="1" t="s">
        <v>13</v>
      </c>
      <c r="Q100">
        <v>74586</v>
      </c>
      <c r="R100">
        <f>winners_21___26[[#This Row],[winners 2021.votes]]-winners_21___26[[#This Row],[runner up 2021.votes]]</f>
        <v>22089</v>
      </c>
      <c r="S100">
        <f>winners_21___26[[#This Row],[winners 2026.votes]]-winners_21___26[[#This Row],[runner up 2026.votes]]</f>
        <v>22250</v>
      </c>
      <c r="T100">
        <v>205579</v>
      </c>
      <c r="U100">
        <v>221400</v>
      </c>
      <c r="V100" s="2">
        <f>winners_21___26[[#This Row],[Margin votes 2021]]/winners_21___26[[#This Row],[Total votes 2021.Sum of votes]]</f>
        <v>0.10744774514906678</v>
      </c>
      <c r="W100" s="3">
        <f>(winners_21___26[[#This Row],[Margin votes 2026]]/winners_21___26[[#This Row],[Total votes 2026.Sum of votes]])*100</f>
        <v>10.049683830171634</v>
      </c>
      <c r="X100" t="str">
        <f>IF(winners_21___26[[#This Row],[winners 2021.party]]=winners_21___26[[#This Row],[winners 2026.party]],"Retained","Flipped")</f>
        <v>Flipped</v>
      </c>
    </row>
    <row r="101" spans="1:24" x14ac:dyDescent="0.3">
      <c r="A101" s="1" t="s">
        <v>322</v>
      </c>
      <c r="B101">
        <v>100</v>
      </c>
      <c r="C101" s="1" t="s">
        <v>323</v>
      </c>
      <c r="D101" s="1" t="s">
        <v>324</v>
      </c>
      <c r="E101">
        <v>78125</v>
      </c>
      <c r="F101" s="1" t="s">
        <v>325</v>
      </c>
      <c r="G101" s="1" t="s">
        <v>15</v>
      </c>
      <c r="H101">
        <v>60715</v>
      </c>
      <c r="I101" s="1" t="s">
        <v>317</v>
      </c>
      <c r="J101" s="1" t="s">
        <v>318</v>
      </c>
      <c r="K101" s="1" t="s">
        <v>18</v>
      </c>
      <c r="L101" s="1" t="s">
        <v>932</v>
      </c>
      <c r="M101" s="1" t="s">
        <v>13</v>
      </c>
      <c r="N101">
        <v>77844</v>
      </c>
      <c r="O101" s="1" t="s">
        <v>933</v>
      </c>
      <c r="P101" s="1" t="s">
        <v>324</v>
      </c>
      <c r="Q101">
        <v>58285</v>
      </c>
      <c r="R101">
        <f>winners_21___26[[#This Row],[winners 2021.votes]]-winners_21___26[[#This Row],[runner up 2021.votes]]</f>
        <v>281</v>
      </c>
      <c r="S101">
        <f>winners_21___26[[#This Row],[winners 2026.votes]]-winners_21___26[[#This Row],[runner up 2026.votes]]</f>
        <v>2430</v>
      </c>
      <c r="T101">
        <v>181857</v>
      </c>
      <c r="U101">
        <v>190759</v>
      </c>
      <c r="V101" s="2">
        <f>winners_21___26[[#This Row],[Margin votes 2021]]/winners_21___26[[#This Row],[Total votes 2021.Sum of votes]]</f>
        <v>1.5451701061823301E-3</v>
      </c>
      <c r="W101" s="3">
        <f>(winners_21___26[[#This Row],[Margin votes 2026]]/winners_21___26[[#This Row],[Total votes 2026.Sum of votes]])*100</f>
        <v>1.2738586383866555</v>
      </c>
      <c r="X101" t="str">
        <f>IF(winners_21___26[[#This Row],[winners 2021.party]]=winners_21___26[[#This Row],[winners 2026.party]],"Retained","Flipped")</f>
        <v>Flipped</v>
      </c>
    </row>
    <row r="102" spans="1:24" x14ac:dyDescent="0.3">
      <c r="A102" s="1" t="s">
        <v>326</v>
      </c>
      <c r="B102">
        <v>101</v>
      </c>
      <c r="C102" s="1" t="s">
        <v>327</v>
      </c>
      <c r="D102" s="1" t="s">
        <v>13</v>
      </c>
      <c r="E102">
        <v>89986</v>
      </c>
      <c r="F102" s="1" t="s">
        <v>328</v>
      </c>
      <c r="G102" s="1" t="s">
        <v>27</v>
      </c>
      <c r="H102">
        <v>81100</v>
      </c>
      <c r="I102" s="1" t="s">
        <v>317</v>
      </c>
      <c r="J102" s="1" t="s">
        <v>318</v>
      </c>
      <c r="K102" s="1" t="s">
        <v>23</v>
      </c>
      <c r="L102" s="1" t="s">
        <v>934</v>
      </c>
      <c r="M102" s="1" t="s">
        <v>324</v>
      </c>
      <c r="N102">
        <v>88593</v>
      </c>
      <c r="O102" s="1" t="s">
        <v>935</v>
      </c>
      <c r="P102" s="1" t="s">
        <v>13</v>
      </c>
      <c r="Q102">
        <v>64373</v>
      </c>
      <c r="R102">
        <f>winners_21___26[[#This Row],[winners 2021.votes]]-winners_21___26[[#This Row],[runner up 2021.votes]]</f>
        <v>1393</v>
      </c>
      <c r="S102">
        <f>winners_21___26[[#This Row],[winners 2026.votes]]-winners_21___26[[#This Row],[runner up 2026.votes]]</f>
        <v>16727</v>
      </c>
      <c r="T102">
        <v>193991</v>
      </c>
      <c r="U102">
        <v>199944</v>
      </c>
      <c r="V102" s="2">
        <f>winners_21___26[[#This Row],[Margin votes 2021]]/winners_21___26[[#This Row],[Total votes 2021.Sum of votes]]</f>
        <v>7.180745498502508E-3</v>
      </c>
      <c r="W102" s="3">
        <f>(winners_21___26[[#This Row],[Margin votes 2026]]/winners_21___26[[#This Row],[Total votes 2026.Sum of votes]])*100</f>
        <v>8.3658424358820476</v>
      </c>
      <c r="X102" t="str">
        <f>IF(winners_21___26[[#This Row],[winners 2021.party]]=winners_21___26[[#This Row],[winners 2026.party]],"Retained","Flipped")</f>
        <v>Flipped</v>
      </c>
    </row>
    <row r="103" spans="1:24" x14ac:dyDescent="0.3">
      <c r="A103" s="1" t="s">
        <v>329</v>
      </c>
      <c r="B103">
        <v>102</v>
      </c>
      <c r="C103" s="1" t="s">
        <v>330</v>
      </c>
      <c r="D103" s="1" t="s">
        <v>13</v>
      </c>
      <c r="E103">
        <v>94197</v>
      </c>
      <c r="F103" s="1" t="s">
        <v>331</v>
      </c>
      <c r="G103" s="1" t="s">
        <v>27</v>
      </c>
      <c r="H103">
        <v>71122</v>
      </c>
      <c r="I103" s="1" t="s">
        <v>317</v>
      </c>
      <c r="J103" s="1" t="s">
        <v>318</v>
      </c>
      <c r="K103" s="1" t="s">
        <v>18</v>
      </c>
      <c r="L103" s="1" t="s">
        <v>936</v>
      </c>
      <c r="M103" s="1" t="s">
        <v>27</v>
      </c>
      <c r="N103">
        <v>86866</v>
      </c>
      <c r="O103" s="1" t="s">
        <v>937</v>
      </c>
      <c r="P103" s="1" t="s">
        <v>15</v>
      </c>
      <c r="Q103">
        <v>62989</v>
      </c>
      <c r="R103">
        <f>winners_21___26[[#This Row],[winners 2021.votes]]-winners_21___26[[#This Row],[runner up 2021.votes]]</f>
        <v>7331</v>
      </c>
      <c r="S103">
        <f>winners_21___26[[#This Row],[winners 2026.votes]]-winners_21___26[[#This Row],[runner up 2026.votes]]</f>
        <v>8133</v>
      </c>
      <c r="T103">
        <v>199818</v>
      </c>
      <c r="U103">
        <v>203534</v>
      </c>
      <c r="V103" s="2">
        <f>winners_21___26[[#This Row],[Margin votes 2021]]/winners_21___26[[#This Row],[Total votes 2021.Sum of votes]]</f>
        <v>3.6688386431652807E-2</v>
      </c>
      <c r="W103" s="3">
        <f>(winners_21___26[[#This Row],[Margin votes 2026]]/winners_21___26[[#This Row],[Total votes 2026.Sum of votes]])*100</f>
        <v>3.9958925781441925</v>
      </c>
      <c r="X103" t="str">
        <f>IF(winners_21___26[[#This Row],[winners 2021.party]]=winners_21___26[[#This Row],[winners 2026.party]],"Retained","Flipped")</f>
        <v>Flipped</v>
      </c>
    </row>
    <row r="104" spans="1:24" x14ac:dyDescent="0.3">
      <c r="A104" s="1" t="s">
        <v>332</v>
      </c>
      <c r="B104">
        <v>103</v>
      </c>
      <c r="C104" s="1" t="s">
        <v>333</v>
      </c>
      <c r="D104" s="1" t="s">
        <v>27</v>
      </c>
      <c r="E104">
        <v>85125</v>
      </c>
      <c r="F104" s="1" t="s">
        <v>334</v>
      </c>
      <c r="G104" s="1" t="s">
        <v>27</v>
      </c>
      <c r="H104">
        <v>70302</v>
      </c>
      <c r="I104" s="1" t="s">
        <v>317</v>
      </c>
      <c r="J104" s="1" t="s">
        <v>318</v>
      </c>
      <c r="K104" s="1" t="s">
        <v>18</v>
      </c>
      <c r="L104" s="1" t="s">
        <v>938</v>
      </c>
      <c r="M104" s="1" t="s">
        <v>13</v>
      </c>
      <c r="N104">
        <v>70618</v>
      </c>
      <c r="O104" s="1" t="s">
        <v>939</v>
      </c>
      <c r="P104" s="1" t="s">
        <v>13</v>
      </c>
      <c r="Q104">
        <v>60609</v>
      </c>
      <c r="R104">
        <f>winners_21___26[[#This Row],[winners 2021.votes]]-winners_21___26[[#This Row],[runner up 2021.votes]]</f>
        <v>14507</v>
      </c>
      <c r="S104">
        <f>winners_21___26[[#This Row],[winners 2026.votes]]-winners_21___26[[#This Row],[runner up 2026.votes]]</f>
        <v>9693</v>
      </c>
      <c r="T104">
        <v>189843</v>
      </c>
      <c r="U104">
        <v>200686</v>
      </c>
      <c r="V104" s="2">
        <f>winners_21___26[[#This Row],[Margin votes 2021]]/winners_21___26[[#This Row],[Total votes 2021.Sum of votes]]</f>
        <v>7.6415775140510844E-2</v>
      </c>
      <c r="W104" s="3">
        <f>(winners_21___26[[#This Row],[Margin votes 2026]]/winners_21___26[[#This Row],[Total votes 2026.Sum of votes]])*100</f>
        <v>4.8299333286826185</v>
      </c>
      <c r="X104" t="str">
        <f>IF(winners_21___26[[#This Row],[winners 2021.party]]=winners_21___26[[#This Row],[winners 2026.party]],"Retained","Flipped")</f>
        <v>Retained</v>
      </c>
    </row>
    <row r="105" spans="1:24" x14ac:dyDescent="0.3">
      <c r="A105" s="1" t="s">
        <v>335</v>
      </c>
      <c r="B105">
        <v>104</v>
      </c>
      <c r="C105" s="1" t="s">
        <v>336</v>
      </c>
      <c r="D105" s="1" t="s">
        <v>27</v>
      </c>
      <c r="E105">
        <v>100915</v>
      </c>
      <c r="F105" s="1" t="s">
        <v>337</v>
      </c>
      <c r="G105" s="1" t="s">
        <v>27</v>
      </c>
      <c r="H105">
        <v>75577</v>
      </c>
      <c r="I105" s="1" t="s">
        <v>317</v>
      </c>
      <c r="J105" s="1" t="s">
        <v>318</v>
      </c>
      <c r="K105" s="1" t="s">
        <v>18</v>
      </c>
      <c r="L105" s="1" t="s">
        <v>940</v>
      </c>
      <c r="M105" s="1" t="s">
        <v>13</v>
      </c>
      <c r="N105">
        <v>78392</v>
      </c>
      <c r="O105" s="1" t="s">
        <v>941</v>
      </c>
      <c r="P105" s="1" t="s">
        <v>15</v>
      </c>
      <c r="Q105">
        <v>68181</v>
      </c>
      <c r="R105">
        <f>winners_21___26[[#This Row],[winners 2021.votes]]-winners_21___26[[#This Row],[runner up 2021.votes]]</f>
        <v>22523</v>
      </c>
      <c r="S105">
        <f>winners_21___26[[#This Row],[winners 2026.votes]]-winners_21___26[[#This Row],[runner up 2026.votes]]</f>
        <v>7396</v>
      </c>
      <c r="T105">
        <v>201385</v>
      </c>
      <c r="U105">
        <v>208323</v>
      </c>
      <c r="V105" s="2">
        <f>winners_21___26[[#This Row],[Margin votes 2021]]/winners_21___26[[#This Row],[Total votes 2021.Sum of votes]]</f>
        <v>0.11184050450629392</v>
      </c>
      <c r="W105" s="3">
        <f>(winners_21___26[[#This Row],[Margin votes 2026]]/winners_21___26[[#This Row],[Total votes 2026.Sum of votes]])*100</f>
        <v>3.5502560927021984</v>
      </c>
      <c r="X105" t="str">
        <f>IF(winners_21___26[[#This Row],[winners 2021.party]]=winners_21___26[[#This Row],[winners 2026.party]],"Retained","Flipped")</f>
        <v>Retained</v>
      </c>
    </row>
    <row r="106" spans="1:24" x14ac:dyDescent="0.3">
      <c r="A106" s="1" t="s">
        <v>338</v>
      </c>
      <c r="B106">
        <v>105</v>
      </c>
      <c r="C106" s="1" t="s">
        <v>339</v>
      </c>
      <c r="D106" s="1" t="s">
        <v>13</v>
      </c>
      <c r="E106">
        <v>79096</v>
      </c>
      <c r="F106" s="1" t="s">
        <v>340</v>
      </c>
      <c r="G106" s="1" t="s">
        <v>27</v>
      </c>
      <c r="H106">
        <v>60042</v>
      </c>
      <c r="I106" s="1" t="s">
        <v>317</v>
      </c>
      <c r="J106" s="1" t="s">
        <v>318</v>
      </c>
      <c r="K106" s="1" t="s">
        <v>18</v>
      </c>
      <c r="L106" s="1" t="s">
        <v>942</v>
      </c>
      <c r="M106" s="1" t="s">
        <v>27</v>
      </c>
      <c r="N106">
        <v>77821</v>
      </c>
      <c r="O106" s="1" t="s">
        <v>943</v>
      </c>
      <c r="P106" s="1" t="s">
        <v>13</v>
      </c>
      <c r="Q106">
        <v>58782</v>
      </c>
      <c r="R106">
        <f>winners_21___26[[#This Row],[winners 2021.votes]]-winners_21___26[[#This Row],[runner up 2021.votes]]</f>
        <v>1275</v>
      </c>
      <c r="S106">
        <f>winners_21___26[[#This Row],[winners 2026.votes]]-winners_21___26[[#This Row],[runner up 2026.votes]]</f>
        <v>1260</v>
      </c>
      <c r="T106">
        <v>176385</v>
      </c>
      <c r="U106">
        <v>185775</v>
      </c>
      <c r="V106" s="2">
        <f>winners_21___26[[#This Row],[Margin votes 2021]]/winners_21___26[[#This Row],[Total votes 2021.Sum of votes]]</f>
        <v>7.2285058253252826E-3</v>
      </c>
      <c r="W106" s="3">
        <f>(winners_21___26[[#This Row],[Margin votes 2026]]/winners_21___26[[#This Row],[Total votes 2026.Sum of votes]])*100</f>
        <v>0.67823980621719826</v>
      </c>
      <c r="X106" t="str">
        <f>IF(winners_21___26[[#This Row],[winners 2021.party]]=winners_21___26[[#This Row],[winners 2026.party]],"Retained","Flipped")</f>
        <v>Flipped</v>
      </c>
    </row>
    <row r="107" spans="1:24" x14ac:dyDescent="0.3">
      <c r="A107" s="1" t="s">
        <v>341</v>
      </c>
      <c r="B107">
        <v>106</v>
      </c>
      <c r="C107" s="1" t="s">
        <v>342</v>
      </c>
      <c r="D107" s="1" t="s">
        <v>27</v>
      </c>
      <c r="E107">
        <v>108608</v>
      </c>
      <c r="F107" s="1" t="s">
        <v>343</v>
      </c>
      <c r="G107" s="1" t="s">
        <v>15</v>
      </c>
      <c r="H107">
        <v>82612</v>
      </c>
      <c r="I107" s="1" t="s">
        <v>344</v>
      </c>
      <c r="J107" s="1" t="s">
        <v>318</v>
      </c>
      <c r="K107" s="1" t="s">
        <v>18</v>
      </c>
      <c r="L107" s="1" t="s">
        <v>944</v>
      </c>
      <c r="M107" s="1" t="s">
        <v>13</v>
      </c>
      <c r="N107">
        <v>80045</v>
      </c>
      <c r="O107" s="1" t="s">
        <v>945</v>
      </c>
      <c r="P107" s="1" t="s">
        <v>13</v>
      </c>
      <c r="Q107">
        <v>65992</v>
      </c>
      <c r="R107">
        <f>winners_21___26[[#This Row],[winners 2021.votes]]-winners_21___26[[#This Row],[runner up 2021.votes]]</f>
        <v>28563</v>
      </c>
      <c r="S107">
        <f>winners_21___26[[#This Row],[winners 2026.votes]]-winners_21___26[[#This Row],[runner up 2026.votes]]</f>
        <v>16620</v>
      </c>
      <c r="T107">
        <v>214281</v>
      </c>
      <c r="U107">
        <v>219727</v>
      </c>
      <c r="V107" s="2">
        <f>winners_21___26[[#This Row],[Margin votes 2021]]/winners_21___26[[#This Row],[Total votes 2021.Sum of votes]]</f>
        <v>0.13329693253251571</v>
      </c>
      <c r="W107" s="3">
        <f>(winners_21___26[[#This Row],[Margin votes 2026]]/winners_21___26[[#This Row],[Total votes 2026.Sum of votes]])*100</f>
        <v>7.5639316060384019</v>
      </c>
      <c r="X107" t="str">
        <f>IF(winners_21___26[[#This Row],[winners 2021.party]]=winners_21___26[[#This Row],[winners 2026.party]],"Retained","Flipped")</f>
        <v>Flipped</v>
      </c>
    </row>
    <row r="108" spans="1:24" x14ac:dyDescent="0.3">
      <c r="A108" s="1" t="s">
        <v>345</v>
      </c>
      <c r="B108">
        <v>107</v>
      </c>
      <c r="C108" s="1" t="s">
        <v>346</v>
      </c>
      <c r="D108" s="1" t="s">
        <v>27</v>
      </c>
      <c r="E108">
        <v>99181</v>
      </c>
      <c r="F108" s="1" t="s">
        <v>347</v>
      </c>
      <c r="G108" s="1" t="s">
        <v>15</v>
      </c>
      <c r="H108">
        <v>72391</v>
      </c>
      <c r="I108" s="1" t="s">
        <v>344</v>
      </c>
      <c r="J108" s="1" t="s">
        <v>318</v>
      </c>
      <c r="K108" s="1" t="s">
        <v>23</v>
      </c>
      <c r="L108" s="1" t="s">
        <v>946</v>
      </c>
      <c r="M108" s="1" t="s">
        <v>190</v>
      </c>
      <c r="N108">
        <v>83173</v>
      </c>
      <c r="O108" s="1" t="s">
        <v>947</v>
      </c>
      <c r="P108" s="1" t="s">
        <v>27</v>
      </c>
      <c r="Q108">
        <v>67822</v>
      </c>
      <c r="R108">
        <f>winners_21___26[[#This Row],[winners 2021.votes]]-winners_21___26[[#This Row],[runner up 2021.votes]]</f>
        <v>16008</v>
      </c>
      <c r="S108">
        <f>winners_21___26[[#This Row],[winners 2026.votes]]-winners_21___26[[#This Row],[runner up 2026.votes]]</f>
        <v>4569</v>
      </c>
      <c r="T108">
        <v>200567</v>
      </c>
      <c r="U108">
        <v>214595</v>
      </c>
      <c r="V108" s="2">
        <f>winners_21___26[[#This Row],[Margin votes 2021]]/winners_21___26[[#This Row],[Total votes 2021.Sum of votes]]</f>
        <v>7.981372808089067E-2</v>
      </c>
      <c r="W108" s="3">
        <f>(winners_21___26[[#This Row],[Margin votes 2026]]/winners_21___26[[#This Row],[Total votes 2026.Sum of votes]])*100</f>
        <v>2.129126960087607</v>
      </c>
      <c r="X108" t="str">
        <f>IF(winners_21___26[[#This Row],[winners 2021.party]]=winners_21___26[[#This Row],[winners 2026.party]],"Retained","Flipped")</f>
        <v>Flipped</v>
      </c>
    </row>
    <row r="109" spans="1:24" x14ac:dyDescent="0.3">
      <c r="A109" s="1" t="s">
        <v>348</v>
      </c>
      <c r="B109">
        <v>108</v>
      </c>
      <c r="C109" s="1" t="s">
        <v>349</v>
      </c>
      <c r="D109" s="1" t="s">
        <v>21</v>
      </c>
      <c r="E109">
        <v>65530</v>
      </c>
      <c r="F109" s="1" t="s">
        <v>350</v>
      </c>
      <c r="G109" s="1" t="s">
        <v>324</v>
      </c>
      <c r="H109">
        <v>48488</v>
      </c>
      <c r="I109" s="1" t="s">
        <v>344</v>
      </c>
      <c r="J109" s="1" t="s">
        <v>318</v>
      </c>
      <c r="K109" s="1" t="s">
        <v>18</v>
      </c>
      <c r="L109" s="1" t="s">
        <v>948</v>
      </c>
      <c r="M109" s="1" t="s">
        <v>324</v>
      </c>
      <c r="N109">
        <v>60182</v>
      </c>
      <c r="O109" s="1" t="s">
        <v>949</v>
      </c>
      <c r="P109" s="1" t="s">
        <v>15</v>
      </c>
      <c r="Q109">
        <v>47512</v>
      </c>
      <c r="R109">
        <f>winners_21___26[[#This Row],[winners 2021.votes]]-winners_21___26[[#This Row],[runner up 2021.votes]]</f>
        <v>5348</v>
      </c>
      <c r="S109">
        <f>winners_21___26[[#This Row],[winners 2026.votes]]-winners_21___26[[#This Row],[runner up 2026.votes]]</f>
        <v>976</v>
      </c>
      <c r="T109">
        <v>141102</v>
      </c>
      <c r="U109">
        <v>148704</v>
      </c>
      <c r="V109" s="2">
        <f>winners_21___26[[#This Row],[Margin votes 2021]]/winners_21___26[[#This Row],[Total votes 2021.Sum of votes]]</f>
        <v>3.7901659792207054E-2</v>
      </c>
      <c r="W109" s="3">
        <f>(winners_21___26[[#This Row],[Margin votes 2026]]/winners_21___26[[#This Row],[Total votes 2026.Sum of votes]])*100</f>
        <v>0.65633742199268352</v>
      </c>
      <c r="X109" t="str">
        <f>IF(winners_21___26[[#This Row],[winners 2021.party]]=winners_21___26[[#This Row],[winners 2026.party]],"Retained","Flipped")</f>
        <v>Flipped</v>
      </c>
    </row>
    <row r="110" spans="1:24" x14ac:dyDescent="0.3">
      <c r="A110" s="1" t="s">
        <v>351</v>
      </c>
      <c r="B110">
        <v>109</v>
      </c>
      <c r="C110" s="1" t="s">
        <v>352</v>
      </c>
      <c r="D110" s="1" t="s">
        <v>27</v>
      </c>
      <c r="E110">
        <v>64496</v>
      </c>
      <c r="F110" s="1" t="s">
        <v>353</v>
      </c>
      <c r="G110" s="1" t="s">
        <v>13</v>
      </c>
      <c r="H110">
        <v>65590</v>
      </c>
      <c r="I110" s="1" t="s">
        <v>344</v>
      </c>
      <c r="J110" s="1" t="s">
        <v>318</v>
      </c>
      <c r="K110" s="1" t="s">
        <v>23</v>
      </c>
      <c r="L110" s="1" t="s">
        <v>950</v>
      </c>
      <c r="M110" s="1" t="s">
        <v>13</v>
      </c>
      <c r="N110">
        <v>62551</v>
      </c>
      <c r="O110" s="1" t="s">
        <v>352</v>
      </c>
      <c r="P110" s="1" t="s">
        <v>27</v>
      </c>
      <c r="Q110">
        <v>42757</v>
      </c>
      <c r="R110">
        <f>winners_21___26[[#This Row],[winners 2021.votes]]-winners_21___26[[#This Row],[runner up 2021.votes]]</f>
        <v>1945</v>
      </c>
      <c r="S110">
        <f>winners_21___26[[#This Row],[winners 2026.votes]]-winners_21___26[[#This Row],[runner up 2026.votes]]</f>
        <v>22833</v>
      </c>
      <c r="T110">
        <v>138257</v>
      </c>
      <c r="U110">
        <v>151241</v>
      </c>
      <c r="V110" s="2">
        <f>winners_21___26[[#This Row],[Margin votes 2021]]/winners_21___26[[#This Row],[Total votes 2021.Sum of votes]]</f>
        <v>1.4068003790043181E-2</v>
      </c>
      <c r="W110" s="3">
        <f>(winners_21___26[[#This Row],[Margin votes 2026]]/winners_21___26[[#This Row],[Total votes 2026.Sum of votes]])*100</f>
        <v>15.097096686744996</v>
      </c>
      <c r="X110" t="str">
        <f>IF(winners_21___26[[#This Row],[winners 2021.party]]=winners_21___26[[#This Row],[winners 2026.party]],"Retained","Flipped")</f>
        <v>Flipped</v>
      </c>
    </row>
    <row r="111" spans="1:24" x14ac:dyDescent="0.3">
      <c r="A111" s="1" t="s">
        <v>354</v>
      </c>
      <c r="B111">
        <v>110</v>
      </c>
      <c r="C111" s="1" t="s">
        <v>355</v>
      </c>
      <c r="D111" s="1" t="s">
        <v>13</v>
      </c>
      <c r="E111">
        <v>61820</v>
      </c>
      <c r="F111" s="1" t="s">
        <v>356</v>
      </c>
      <c r="G111" s="1" t="s">
        <v>13</v>
      </c>
      <c r="H111">
        <v>50470</v>
      </c>
      <c r="I111" s="1" t="s">
        <v>344</v>
      </c>
      <c r="J111" s="1" t="s">
        <v>318</v>
      </c>
      <c r="K111" s="1" t="s">
        <v>18</v>
      </c>
      <c r="L111" s="1" t="s">
        <v>951</v>
      </c>
      <c r="M111" s="1" t="s">
        <v>27</v>
      </c>
      <c r="N111">
        <v>57715</v>
      </c>
      <c r="O111" s="1" t="s">
        <v>952</v>
      </c>
      <c r="P111" s="1" t="s">
        <v>27</v>
      </c>
      <c r="Q111">
        <v>42371</v>
      </c>
      <c r="R111">
        <f>winners_21___26[[#This Row],[winners 2021.votes]]-winners_21___26[[#This Row],[runner up 2021.votes]]</f>
        <v>4105</v>
      </c>
      <c r="S111">
        <f>winners_21___26[[#This Row],[winners 2026.votes]]-winners_21___26[[#This Row],[runner up 2026.votes]]</f>
        <v>8099</v>
      </c>
      <c r="T111">
        <v>135908</v>
      </c>
      <c r="U111">
        <v>141394</v>
      </c>
      <c r="V111" s="2">
        <f>winners_21___26[[#This Row],[Margin votes 2021]]/winners_21___26[[#This Row],[Total votes 2021.Sum of votes]]</f>
        <v>3.0204255820113605E-2</v>
      </c>
      <c r="W111" s="3">
        <f>(winners_21___26[[#This Row],[Margin votes 2026]]/winners_21___26[[#This Row],[Total votes 2026.Sum of votes]])*100</f>
        <v>5.727965825989787</v>
      </c>
      <c r="X111" t="str">
        <f>IF(winners_21___26[[#This Row],[winners 2021.party]]=winners_21___26[[#This Row],[winners 2026.party]],"Retained","Flipped")</f>
        <v>Retained</v>
      </c>
    </row>
    <row r="112" spans="1:24" x14ac:dyDescent="0.3">
      <c r="A112" s="1" t="s">
        <v>357</v>
      </c>
      <c r="B112">
        <v>111</v>
      </c>
      <c r="C112" s="1" t="s">
        <v>358</v>
      </c>
      <c r="D112" s="1" t="s">
        <v>27</v>
      </c>
      <c r="E112">
        <v>105231</v>
      </c>
      <c r="F112" s="1" t="s">
        <v>359</v>
      </c>
      <c r="G112" s="1" t="s">
        <v>15</v>
      </c>
      <c r="H112">
        <v>75664</v>
      </c>
      <c r="I112" s="1" t="s">
        <v>344</v>
      </c>
      <c r="J112" s="1" t="s">
        <v>318</v>
      </c>
      <c r="K112" s="1" t="s">
        <v>18</v>
      </c>
      <c r="L112" s="1" t="s">
        <v>953</v>
      </c>
      <c r="M112" s="1" t="s">
        <v>13</v>
      </c>
      <c r="N112">
        <v>102775</v>
      </c>
      <c r="O112" s="1" t="s">
        <v>954</v>
      </c>
      <c r="P112" s="1" t="s">
        <v>13</v>
      </c>
      <c r="Q112">
        <v>67896</v>
      </c>
      <c r="R112">
        <f>winners_21___26[[#This Row],[winners 2021.votes]]-winners_21___26[[#This Row],[runner up 2021.votes]]</f>
        <v>2456</v>
      </c>
      <c r="S112">
        <f>winners_21___26[[#This Row],[winners 2026.votes]]-winners_21___26[[#This Row],[runner up 2026.votes]]</f>
        <v>7768</v>
      </c>
      <c r="T112">
        <v>225083</v>
      </c>
      <c r="U112">
        <v>244319</v>
      </c>
      <c r="V112" s="2">
        <f>winners_21___26[[#This Row],[Margin votes 2021]]/winners_21___26[[#This Row],[Total votes 2021.Sum of votes]]</f>
        <v>1.0911530413225344E-2</v>
      </c>
      <c r="W112" s="3">
        <f>(winners_21___26[[#This Row],[Margin votes 2026]]/winners_21___26[[#This Row],[Total votes 2026.Sum of votes]])*100</f>
        <v>3.1794498176564248</v>
      </c>
      <c r="X112" t="str">
        <f>IF(winners_21___26[[#This Row],[winners 2021.party]]=winners_21___26[[#This Row],[winners 2026.party]],"Retained","Flipped")</f>
        <v>Flipped</v>
      </c>
    </row>
    <row r="113" spans="1:24" x14ac:dyDescent="0.3">
      <c r="A113" s="1" t="s">
        <v>360</v>
      </c>
      <c r="B113">
        <v>112</v>
      </c>
      <c r="C113" s="1" t="s">
        <v>361</v>
      </c>
      <c r="D113" s="1" t="s">
        <v>27</v>
      </c>
      <c r="E113">
        <v>117284</v>
      </c>
      <c r="F113" s="1" t="s">
        <v>362</v>
      </c>
      <c r="G113" s="1" t="s">
        <v>15</v>
      </c>
      <c r="H113">
        <v>84209</v>
      </c>
      <c r="I113" s="1" t="s">
        <v>344</v>
      </c>
      <c r="J113" s="1" t="s">
        <v>318</v>
      </c>
      <c r="K113" s="1" t="s">
        <v>23</v>
      </c>
      <c r="L113" s="1" t="s">
        <v>955</v>
      </c>
      <c r="M113" s="1" t="s">
        <v>13</v>
      </c>
      <c r="N113">
        <v>66382</v>
      </c>
      <c r="O113" s="1" t="s">
        <v>956</v>
      </c>
      <c r="P113" s="1" t="s">
        <v>324</v>
      </c>
      <c r="Q113">
        <v>68836</v>
      </c>
      <c r="R113">
        <f>winners_21___26[[#This Row],[winners 2021.votes]]-winners_21___26[[#This Row],[runner up 2021.votes]]</f>
        <v>50902</v>
      </c>
      <c r="S113">
        <f>winners_21___26[[#This Row],[winners 2026.votes]]-winners_21___26[[#This Row],[runner up 2026.votes]]</f>
        <v>15373</v>
      </c>
      <c r="T113">
        <v>212627</v>
      </c>
      <c r="U113">
        <v>231600</v>
      </c>
      <c r="V113" s="2">
        <f>winners_21___26[[#This Row],[Margin votes 2021]]/winners_21___26[[#This Row],[Total votes 2021.Sum of votes]]</f>
        <v>0.23939574936390956</v>
      </c>
      <c r="W113" s="3">
        <f>(winners_21___26[[#This Row],[Margin votes 2026]]/winners_21___26[[#This Row],[Total votes 2026.Sum of votes]])*100</f>
        <v>6.6377374784110525</v>
      </c>
      <c r="X113" t="str">
        <f>IF(winners_21___26[[#This Row],[winners 2021.party]]=winners_21___26[[#This Row],[winners 2026.party]],"Retained","Flipped")</f>
        <v>Flipped</v>
      </c>
    </row>
    <row r="114" spans="1:24" x14ac:dyDescent="0.3">
      <c r="A114" s="1" t="s">
        <v>363</v>
      </c>
      <c r="B114">
        <v>113</v>
      </c>
      <c r="C114" s="1" t="s">
        <v>364</v>
      </c>
      <c r="D114" s="1" t="s">
        <v>27</v>
      </c>
      <c r="E114">
        <v>113384</v>
      </c>
      <c r="F114" s="1" t="s">
        <v>365</v>
      </c>
      <c r="G114" s="1" t="s">
        <v>15</v>
      </c>
      <c r="H114">
        <v>131401</v>
      </c>
      <c r="I114" s="1" t="s">
        <v>344</v>
      </c>
      <c r="J114" s="1" t="s">
        <v>318</v>
      </c>
      <c r="K114" s="1" t="s">
        <v>18</v>
      </c>
      <c r="L114" s="1" t="s">
        <v>957</v>
      </c>
      <c r="M114" s="1" t="s">
        <v>190</v>
      </c>
      <c r="N114">
        <v>73282</v>
      </c>
      <c r="O114" s="1" t="s">
        <v>958</v>
      </c>
      <c r="P114" s="1" t="s">
        <v>27</v>
      </c>
      <c r="Q114">
        <v>61409</v>
      </c>
      <c r="R114">
        <f>winners_21___26[[#This Row],[winners 2021.votes]]-winners_21___26[[#This Row],[runner up 2021.votes]]</f>
        <v>40102</v>
      </c>
      <c r="S114">
        <f>winners_21___26[[#This Row],[winners 2026.votes]]-winners_21___26[[#This Row],[runner up 2026.votes]]</f>
        <v>69992</v>
      </c>
      <c r="T114">
        <v>238092</v>
      </c>
      <c r="U114">
        <v>263457</v>
      </c>
      <c r="V114" s="2">
        <f>winners_21___26[[#This Row],[Margin votes 2021]]/winners_21___26[[#This Row],[Total votes 2021.Sum of votes]]</f>
        <v>0.16843069065739294</v>
      </c>
      <c r="W114" s="3">
        <f>(winners_21___26[[#This Row],[Margin votes 2026]]/winners_21___26[[#This Row],[Total votes 2026.Sum of votes]])*100</f>
        <v>26.566764215792332</v>
      </c>
      <c r="X114" t="str">
        <f>IF(winners_21___26[[#This Row],[winners 2021.party]]=winners_21___26[[#This Row],[winners 2026.party]],"Retained","Flipped")</f>
        <v>Flipped</v>
      </c>
    </row>
    <row r="115" spans="1:24" x14ac:dyDescent="0.3">
      <c r="A115" s="1" t="s">
        <v>366</v>
      </c>
      <c r="B115">
        <v>114</v>
      </c>
      <c r="C115" s="1" t="s">
        <v>367</v>
      </c>
      <c r="D115" s="1" t="s">
        <v>13</v>
      </c>
      <c r="E115">
        <v>75535</v>
      </c>
      <c r="F115" s="1" t="s">
        <v>368</v>
      </c>
      <c r="G115" s="1" t="s">
        <v>15</v>
      </c>
      <c r="H115">
        <v>73793</v>
      </c>
      <c r="I115" s="1" t="s">
        <v>369</v>
      </c>
      <c r="J115" s="1" t="s">
        <v>318</v>
      </c>
      <c r="K115" s="1" t="s">
        <v>18</v>
      </c>
      <c r="L115" s="1" t="s">
        <v>959</v>
      </c>
      <c r="M115" s="1" t="s">
        <v>27</v>
      </c>
      <c r="N115">
        <v>70826</v>
      </c>
      <c r="O115" s="1" t="s">
        <v>960</v>
      </c>
      <c r="P115" s="1" t="s">
        <v>13</v>
      </c>
      <c r="Q115">
        <v>60892</v>
      </c>
      <c r="R115">
        <f>winners_21___26[[#This Row],[winners 2021.votes]]-winners_21___26[[#This Row],[runner up 2021.votes]]</f>
        <v>4709</v>
      </c>
      <c r="S115">
        <f>winners_21___26[[#This Row],[winners 2026.votes]]-winners_21___26[[#This Row],[runner up 2026.votes]]</f>
        <v>12901</v>
      </c>
      <c r="T115">
        <v>174418</v>
      </c>
      <c r="U115">
        <v>179814</v>
      </c>
      <c r="V115" s="2">
        <f>winners_21___26[[#This Row],[Margin votes 2021]]/winners_21___26[[#This Row],[Total votes 2021.Sum of votes]]</f>
        <v>2.6998360260982238E-2</v>
      </c>
      <c r="W115" s="3">
        <f>(winners_21___26[[#This Row],[Margin votes 2026]]/winners_21___26[[#This Row],[Total votes 2026.Sum of votes]])*100</f>
        <v>7.1746360127687492</v>
      </c>
      <c r="X115" t="str">
        <f>IF(winners_21___26[[#This Row],[winners 2021.party]]=winners_21___26[[#This Row],[winners 2026.party]],"Retained","Flipped")</f>
        <v>Flipped</v>
      </c>
    </row>
    <row r="116" spans="1:24" x14ac:dyDescent="0.3">
      <c r="A116" s="1" t="s">
        <v>370</v>
      </c>
      <c r="B116">
        <v>115</v>
      </c>
      <c r="C116" s="1" t="s">
        <v>371</v>
      </c>
      <c r="D116" s="1" t="s">
        <v>27</v>
      </c>
      <c r="E116">
        <v>126903</v>
      </c>
      <c r="F116" s="1" t="s">
        <v>372</v>
      </c>
      <c r="G116" s="1" t="s">
        <v>15</v>
      </c>
      <c r="H116">
        <v>121297</v>
      </c>
      <c r="I116" s="1" t="s">
        <v>369</v>
      </c>
      <c r="J116" s="1" t="s">
        <v>318</v>
      </c>
      <c r="K116" s="1" t="s">
        <v>18</v>
      </c>
      <c r="L116" s="1" t="s">
        <v>961</v>
      </c>
      <c r="M116" s="1" t="s">
        <v>13</v>
      </c>
      <c r="N116">
        <v>94212</v>
      </c>
      <c r="O116" s="1" t="s">
        <v>962</v>
      </c>
      <c r="P116" s="1" t="s">
        <v>27</v>
      </c>
      <c r="Q116">
        <v>83400</v>
      </c>
      <c r="R116">
        <f>winners_21___26[[#This Row],[winners 2021.votes]]-winners_21___26[[#This Row],[runner up 2021.votes]]</f>
        <v>32691</v>
      </c>
      <c r="S116">
        <f>winners_21___26[[#This Row],[winners 2026.votes]]-winners_21___26[[#This Row],[runner up 2026.votes]]</f>
        <v>37897</v>
      </c>
      <c r="T116">
        <v>261511</v>
      </c>
      <c r="U116">
        <v>301014</v>
      </c>
      <c r="V116" s="2">
        <f>winners_21___26[[#This Row],[Margin votes 2021]]/winners_21___26[[#This Row],[Total votes 2021.Sum of votes]]</f>
        <v>0.12500812585321458</v>
      </c>
      <c r="W116" s="3">
        <f>(winners_21___26[[#This Row],[Margin votes 2026]]/winners_21___26[[#This Row],[Total votes 2026.Sum of votes]])*100</f>
        <v>12.589779877347897</v>
      </c>
      <c r="X116" t="str">
        <f>IF(winners_21___26[[#This Row],[winners 2021.party]]=winners_21___26[[#This Row],[winners 2026.party]],"Retained","Flipped")</f>
        <v>Flipped</v>
      </c>
    </row>
    <row r="117" spans="1:24" x14ac:dyDescent="0.3">
      <c r="A117" s="1" t="s">
        <v>373</v>
      </c>
      <c r="B117">
        <v>116</v>
      </c>
      <c r="C117" s="1" t="s">
        <v>374</v>
      </c>
      <c r="D117" s="1" t="s">
        <v>27</v>
      </c>
      <c r="E117">
        <v>118968</v>
      </c>
      <c r="F117" s="1" t="s">
        <v>375</v>
      </c>
      <c r="G117" s="1" t="s">
        <v>15</v>
      </c>
      <c r="H117">
        <v>90531</v>
      </c>
      <c r="I117" s="1" t="s">
        <v>369</v>
      </c>
      <c r="J117" s="1" t="s">
        <v>318</v>
      </c>
      <c r="K117" s="1" t="s">
        <v>18</v>
      </c>
      <c r="L117" s="1" t="s">
        <v>963</v>
      </c>
      <c r="M117" s="1" t="s">
        <v>13</v>
      </c>
      <c r="N117">
        <v>87036</v>
      </c>
      <c r="O117" s="1" t="s">
        <v>964</v>
      </c>
      <c r="P117" s="1" t="s">
        <v>27</v>
      </c>
      <c r="Q117">
        <v>85741</v>
      </c>
      <c r="R117">
        <f>winners_21___26[[#This Row],[winners 2021.votes]]-winners_21___26[[#This Row],[runner up 2021.votes]]</f>
        <v>31932</v>
      </c>
      <c r="S117">
        <f>winners_21___26[[#This Row],[winners 2026.votes]]-winners_21___26[[#This Row],[runner up 2026.votes]]</f>
        <v>4790</v>
      </c>
      <c r="T117">
        <v>241653</v>
      </c>
      <c r="U117">
        <v>273544</v>
      </c>
      <c r="V117" s="2">
        <f>winners_21___26[[#This Row],[Margin votes 2021]]/winners_21___26[[#This Row],[Total votes 2021.Sum of votes]]</f>
        <v>0.13213988653151421</v>
      </c>
      <c r="W117" s="3">
        <f>(winners_21___26[[#This Row],[Margin votes 2026]]/winners_21___26[[#This Row],[Total votes 2026.Sum of votes]])*100</f>
        <v>1.7510894042640306</v>
      </c>
      <c r="X117" t="str">
        <f>IF(winners_21___26[[#This Row],[winners 2021.party]]=winners_21___26[[#This Row],[winners 2026.party]],"Retained","Flipped")</f>
        <v>Flipped</v>
      </c>
    </row>
    <row r="118" spans="1:24" x14ac:dyDescent="0.3">
      <c r="A118" s="1" t="s">
        <v>376</v>
      </c>
      <c r="B118">
        <v>117</v>
      </c>
      <c r="C118" s="1" t="s">
        <v>377</v>
      </c>
      <c r="D118" s="1" t="s">
        <v>27</v>
      </c>
      <c r="E118">
        <v>135669</v>
      </c>
      <c r="F118" s="1" t="s">
        <v>378</v>
      </c>
      <c r="G118" s="1" t="s">
        <v>15</v>
      </c>
      <c r="H118">
        <v>146466</v>
      </c>
      <c r="I118" s="1" t="s">
        <v>379</v>
      </c>
      <c r="J118" s="1" t="s">
        <v>318</v>
      </c>
      <c r="K118" s="1" t="s">
        <v>18</v>
      </c>
      <c r="L118" s="1" t="s">
        <v>965</v>
      </c>
      <c r="M118" s="1" t="s">
        <v>13</v>
      </c>
      <c r="N118">
        <v>125893</v>
      </c>
      <c r="O118" s="1" t="s">
        <v>966</v>
      </c>
      <c r="P118" s="1" t="s">
        <v>27</v>
      </c>
      <c r="Q118">
        <v>104326</v>
      </c>
      <c r="R118">
        <f>winners_21___26[[#This Row],[winners 2021.votes]]-winners_21___26[[#This Row],[runner up 2021.votes]]</f>
        <v>9776</v>
      </c>
      <c r="S118">
        <f>winners_21___26[[#This Row],[winners 2026.votes]]-winners_21___26[[#This Row],[runner up 2026.votes]]</f>
        <v>42140</v>
      </c>
      <c r="T118">
        <v>309918</v>
      </c>
      <c r="U118">
        <v>363991</v>
      </c>
      <c r="V118" s="2">
        <f>winners_21___26[[#This Row],[Margin votes 2021]]/winners_21___26[[#This Row],[Total votes 2021.Sum of votes]]</f>
        <v>3.1543827722171673E-2</v>
      </c>
      <c r="W118" s="3">
        <f>(winners_21___26[[#This Row],[Margin votes 2026]]/winners_21___26[[#This Row],[Total votes 2026.Sum of votes]])*100</f>
        <v>11.57720932660423</v>
      </c>
      <c r="X118" t="str">
        <f>IF(winners_21___26[[#This Row],[winners 2021.party]]=winners_21___26[[#This Row],[winners 2026.party]],"Retained","Flipped")</f>
        <v>Flipped</v>
      </c>
    </row>
    <row r="119" spans="1:24" x14ac:dyDescent="0.3">
      <c r="A119" s="1" t="s">
        <v>380</v>
      </c>
      <c r="B119">
        <v>118</v>
      </c>
      <c r="C119" s="1" t="s">
        <v>381</v>
      </c>
      <c r="D119" s="1" t="s">
        <v>27</v>
      </c>
      <c r="E119">
        <v>81454</v>
      </c>
      <c r="F119" s="1" t="s">
        <v>382</v>
      </c>
      <c r="G119" s="1" t="s">
        <v>15</v>
      </c>
      <c r="H119">
        <v>92500</v>
      </c>
      <c r="I119" s="1" t="s">
        <v>379</v>
      </c>
      <c r="J119" s="1" t="s">
        <v>318</v>
      </c>
      <c r="K119" s="1" t="s">
        <v>18</v>
      </c>
      <c r="L119" s="1" t="s">
        <v>967</v>
      </c>
      <c r="M119" s="1" t="s">
        <v>13</v>
      </c>
      <c r="N119">
        <v>77453</v>
      </c>
      <c r="O119" s="1" t="s">
        <v>968</v>
      </c>
      <c r="P119" s="1" t="s">
        <v>13</v>
      </c>
      <c r="Q119">
        <v>70508</v>
      </c>
      <c r="R119">
        <f>winners_21___26[[#This Row],[winners 2021.votes]]-winners_21___26[[#This Row],[runner up 2021.votes]]</f>
        <v>4001</v>
      </c>
      <c r="S119">
        <f>winners_21___26[[#This Row],[winners 2026.votes]]-winners_21___26[[#This Row],[runner up 2026.votes]]</f>
        <v>21992</v>
      </c>
      <c r="T119">
        <v>202799</v>
      </c>
      <c r="U119">
        <v>226109</v>
      </c>
      <c r="V119" s="2">
        <f>winners_21___26[[#This Row],[Margin votes 2021]]/winners_21___26[[#This Row],[Total votes 2021.Sum of votes]]</f>
        <v>1.9728894126696876E-2</v>
      </c>
      <c r="W119" s="3">
        <f>(winners_21___26[[#This Row],[Margin votes 2026]]/winners_21___26[[#This Row],[Total votes 2026.Sum of votes]])*100</f>
        <v>9.7262824566912425</v>
      </c>
      <c r="X119" t="str">
        <f>IF(winners_21___26[[#This Row],[winners 2021.party]]=winners_21___26[[#This Row],[winners 2026.party]],"Retained","Flipped")</f>
        <v>Flipped</v>
      </c>
    </row>
    <row r="120" spans="1:24" x14ac:dyDescent="0.3">
      <c r="A120" s="1" t="s">
        <v>383</v>
      </c>
      <c r="B120">
        <v>119</v>
      </c>
      <c r="C120" s="1" t="s">
        <v>384</v>
      </c>
      <c r="D120" s="1" t="s">
        <v>27</v>
      </c>
      <c r="E120">
        <v>124225</v>
      </c>
      <c r="F120" s="1" t="s">
        <v>385</v>
      </c>
      <c r="G120" s="1" t="s">
        <v>27</v>
      </c>
      <c r="H120">
        <v>93316</v>
      </c>
      <c r="I120" s="1" t="s">
        <v>379</v>
      </c>
      <c r="J120" s="1" t="s">
        <v>318</v>
      </c>
      <c r="K120" s="1" t="s">
        <v>18</v>
      </c>
      <c r="L120" s="1" t="s">
        <v>969</v>
      </c>
      <c r="M120" s="1" t="s">
        <v>13</v>
      </c>
      <c r="N120">
        <v>82595</v>
      </c>
      <c r="O120" s="1" t="s">
        <v>970</v>
      </c>
      <c r="P120" s="1" t="s">
        <v>15</v>
      </c>
      <c r="Q120">
        <v>78591</v>
      </c>
      <c r="R120">
        <f>winners_21___26[[#This Row],[winners 2021.votes]]-winners_21___26[[#This Row],[runner up 2021.votes]]</f>
        <v>41630</v>
      </c>
      <c r="S120">
        <f>winners_21___26[[#This Row],[winners 2026.votes]]-winners_21___26[[#This Row],[runner up 2026.votes]]</f>
        <v>14725</v>
      </c>
      <c r="T120">
        <v>230531</v>
      </c>
      <c r="U120">
        <v>258549</v>
      </c>
      <c r="V120" s="2">
        <f>winners_21___26[[#This Row],[Margin votes 2021]]/winners_21___26[[#This Row],[Total votes 2021.Sum of votes]]</f>
        <v>0.18058308860847347</v>
      </c>
      <c r="W120" s="3">
        <f>(winners_21___26[[#This Row],[Margin votes 2026]]/winners_21___26[[#This Row],[Total votes 2026.Sum of votes]])*100</f>
        <v>5.6952453886884111</v>
      </c>
      <c r="X120" t="str">
        <f>IF(winners_21___26[[#This Row],[winners 2021.party]]=winners_21___26[[#This Row],[winners 2026.party]],"Retained","Flipped")</f>
        <v>Retained</v>
      </c>
    </row>
    <row r="121" spans="1:24" x14ac:dyDescent="0.3">
      <c r="A121" s="1" t="s">
        <v>386</v>
      </c>
      <c r="B121">
        <v>120</v>
      </c>
      <c r="C121" s="1" t="s">
        <v>387</v>
      </c>
      <c r="D121" s="1" t="s">
        <v>324</v>
      </c>
      <c r="E121">
        <v>53209</v>
      </c>
      <c r="F121" s="1" t="s">
        <v>388</v>
      </c>
      <c r="G121" s="1" t="s">
        <v>13</v>
      </c>
      <c r="H121">
        <v>59724</v>
      </c>
      <c r="I121" s="1" t="s">
        <v>379</v>
      </c>
      <c r="J121" s="1" t="s">
        <v>318</v>
      </c>
      <c r="K121" s="1" t="s">
        <v>18</v>
      </c>
      <c r="L121" s="1" t="s">
        <v>971</v>
      </c>
      <c r="M121" s="1" t="s">
        <v>972</v>
      </c>
      <c r="N121">
        <v>51481</v>
      </c>
      <c r="O121" s="1" t="s">
        <v>973</v>
      </c>
      <c r="P121" s="1" t="s">
        <v>15</v>
      </c>
      <c r="Q121">
        <v>57453</v>
      </c>
      <c r="R121">
        <f>winners_21___26[[#This Row],[winners 2021.votes]]-winners_21___26[[#This Row],[runner up 2021.votes]]</f>
        <v>1728</v>
      </c>
      <c r="S121">
        <f>winners_21___26[[#This Row],[winners 2026.votes]]-winners_21___26[[#This Row],[runner up 2026.votes]]</f>
        <v>2271</v>
      </c>
      <c r="T121">
        <v>154765</v>
      </c>
      <c r="U121">
        <v>156499</v>
      </c>
      <c r="V121" s="2">
        <f>winners_21___26[[#This Row],[Margin votes 2021]]/winners_21___26[[#This Row],[Total votes 2021.Sum of votes]]</f>
        <v>1.1165315155235356E-2</v>
      </c>
      <c r="W121" s="3">
        <f>(winners_21___26[[#This Row],[Margin votes 2026]]/winners_21___26[[#This Row],[Total votes 2026.Sum of votes]])*100</f>
        <v>1.4511274832427046</v>
      </c>
      <c r="X121" t="str">
        <f>IF(winners_21___26[[#This Row],[winners 2021.party]]=winners_21___26[[#This Row],[winners 2026.party]],"Retained","Flipped")</f>
        <v>Flipped</v>
      </c>
    </row>
    <row r="122" spans="1:24" x14ac:dyDescent="0.3">
      <c r="A122" s="1" t="s">
        <v>389</v>
      </c>
      <c r="B122">
        <v>121</v>
      </c>
      <c r="C122" s="1" t="s">
        <v>390</v>
      </c>
      <c r="D122" s="1" t="s">
        <v>27</v>
      </c>
      <c r="E122">
        <v>81244</v>
      </c>
      <c r="F122" s="1" t="s">
        <v>391</v>
      </c>
      <c r="G122" s="1" t="s">
        <v>15</v>
      </c>
      <c r="H122">
        <v>84163</v>
      </c>
      <c r="I122" s="1" t="s">
        <v>379</v>
      </c>
      <c r="J122" s="1" t="s">
        <v>318</v>
      </c>
      <c r="K122" s="1" t="s">
        <v>18</v>
      </c>
      <c r="L122" s="1" t="s">
        <v>974</v>
      </c>
      <c r="M122" s="1" t="s">
        <v>13</v>
      </c>
      <c r="N122">
        <v>70390</v>
      </c>
      <c r="O122" s="1" t="s">
        <v>975</v>
      </c>
      <c r="P122" s="1" t="s">
        <v>21</v>
      </c>
      <c r="Q122">
        <v>65024</v>
      </c>
      <c r="R122">
        <f>winners_21___26[[#This Row],[winners 2021.votes]]-winners_21___26[[#This Row],[runner up 2021.votes]]</f>
        <v>10854</v>
      </c>
      <c r="S122">
        <f>winners_21___26[[#This Row],[winners 2026.votes]]-winners_21___26[[#This Row],[runner up 2026.votes]]</f>
        <v>19139</v>
      </c>
      <c r="T122">
        <v>202021</v>
      </c>
      <c r="U122">
        <v>221033</v>
      </c>
      <c r="V122" s="2">
        <f>winners_21___26[[#This Row],[Margin votes 2021]]/winners_21___26[[#This Row],[Total votes 2021.Sum of votes]]</f>
        <v>5.372708777800328E-2</v>
      </c>
      <c r="W122" s="3">
        <f>(winners_21___26[[#This Row],[Margin votes 2026]]/winners_21___26[[#This Row],[Total votes 2026.Sum of votes]])*100</f>
        <v>8.6588880393425409</v>
      </c>
      <c r="X122" t="str">
        <f>IF(winners_21___26[[#This Row],[winners 2021.party]]=winners_21___26[[#This Row],[winners 2026.party]],"Retained","Flipped")</f>
        <v>Flipped</v>
      </c>
    </row>
    <row r="123" spans="1:24" x14ac:dyDescent="0.3">
      <c r="A123" s="1" t="s">
        <v>392</v>
      </c>
      <c r="B123">
        <v>122</v>
      </c>
      <c r="C123" s="1" t="s">
        <v>393</v>
      </c>
      <c r="D123" s="1" t="s">
        <v>27</v>
      </c>
      <c r="E123">
        <v>101537</v>
      </c>
      <c r="F123" s="1" t="s">
        <v>394</v>
      </c>
      <c r="G123" s="1" t="s">
        <v>15</v>
      </c>
      <c r="H123">
        <v>99950</v>
      </c>
      <c r="I123" s="1" t="s">
        <v>379</v>
      </c>
      <c r="J123" s="1" t="s">
        <v>318</v>
      </c>
      <c r="K123" s="1" t="s">
        <v>18</v>
      </c>
      <c r="L123" s="1" t="s">
        <v>976</v>
      </c>
      <c r="M123" s="1" t="s">
        <v>13</v>
      </c>
      <c r="N123">
        <v>100442</v>
      </c>
      <c r="O123" s="1" t="s">
        <v>977</v>
      </c>
      <c r="P123" s="1" t="s">
        <v>13</v>
      </c>
      <c r="Q123">
        <v>88240</v>
      </c>
      <c r="R123">
        <f>winners_21___26[[#This Row],[winners 2021.votes]]-winners_21___26[[#This Row],[runner up 2021.votes]]</f>
        <v>1095</v>
      </c>
      <c r="S123">
        <f>winners_21___26[[#This Row],[winners 2026.votes]]-winners_21___26[[#This Row],[runner up 2026.votes]]</f>
        <v>11710</v>
      </c>
      <c r="T123">
        <v>232435</v>
      </c>
      <c r="U123">
        <v>267917</v>
      </c>
      <c r="V123" s="2">
        <f>winners_21___26[[#This Row],[Margin votes 2021]]/winners_21___26[[#This Row],[Total votes 2021.Sum of votes]]</f>
        <v>4.710994471572698E-3</v>
      </c>
      <c r="W123" s="3">
        <f>(winners_21___26[[#This Row],[Margin votes 2026]]/winners_21___26[[#This Row],[Total votes 2026.Sum of votes]])*100</f>
        <v>4.3707566149217856</v>
      </c>
      <c r="X123" t="str">
        <f>IF(winners_21___26[[#This Row],[winners 2021.party]]=winners_21___26[[#This Row],[winners 2026.party]],"Retained","Flipped")</f>
        <v>Flipped</v>
      </c>
    </row>
    <row r="124" spans="1:24" x14ac:dyDescent="0.3">
      <c r="A124" s="1" t="s">
        <v>395</v>
      </c>
      <c r="B124">
        <v>123</v>
      </c>
      <c r="C124" s="1" t="s">
        <v>396</v>
      </c>
      <c r="D124" s="1" t="s">
        <v>27</v>
      </c>
      <c r="E124">
        <v>80567</v>
      </c>
      <c r="F124" s="1" t="s">
        <v>397</v>
      </c>
      <c r="G124" s="1" t="s">
        <v>13</v>
      </c>
      <c r="H124">
        <v>62013</v>
      </c>
      <c r="I124" s="1" t="s">
        <v>379</v>
      </c>
      <c r="J124" s="1" t="s">
        <v>318</v>
      </c>
      <c r="K124" s="1" t="s">
        <v>18</v>
      </c>
      <c r="L124" s="1" t="s">
        <v>978</v>
      </c>
      <c r="M124" s="1" t="s">
        <v>13</v>
      </c>
      <c r="N124">
        <v>78842</v>
      </c>
      <c r="O124" s="1" t="s">
        <v>979</v>
      </c>
      <c r="P124" s="1" t="s">
        <v>27</v>
      </c>
      <c r="Q124">
        <v>57386</v>
      </c>
      <c r="R124">
        <f>winners_21___26[[#This Row],[winners 2021.votes]]-winners_21___26[[#This Row],[runner up 2021.votes]]</f>
        <v>1725</v>
      </c>
      <c r="S124">
        <f>winners_21___26[[#This Row],[winners 2026.votes]]-winners_21___26[[#This Row],[runner up 2026.votes]]</f>
        <v>4627</v>
      </c>
      <c r="T124">
        <v>177308</v>
      </c>
      <c r="U124">
        <v>181196</v>
      </c>
      <c r="V124" s="2">
        <f>winners_21___26[[#This Row],[Margin votes 2021]]/winners_21___26[[#This Row],[Total votes 2021.Sum of votes]]</f>
        <v>9.7288334423714668E-3</v>
      </c>
      <c r="W124" s="3">
        <f>(winners_21___26[[#This Row],[Margin votes 2026]]/winners_21___26[[#This Row],[Total votes 2026.Sum of votes]])*100</f>
        <v>2.5535883794344247</v>
      </c>
      <c r="X124" t="str">
        <f>IF(winners_21___26[[#This Row],[winners 2021.party]]=winners_21___26[[#This Row],[winners 2026.party]],"Retained","Flipped")</f>
        <v>Flipped</v>
      </c>
    </row>
    <row r="125" spans="1:24" x14ac:dyDescent="0.3">
      <c r="A125" s="1" t="s">
        <v>398</v>
      </c>
      <c r="B125">
        <v>124</v>
      </c>
      <c r="C125" s="1" t="s">
        <v>399</v>
      </c>
      <c r="D125" s="1" t="s">
        <v>27</v>
      </c>
      <c r="E125">
        <v>71672</v>
      </c>
      <c r="F125" s="1" t="s">
        <v>400</v>
      </c>
      <c r="G125" s="1" t="s">
        <v>13</v>
      </c>
      <c r="H125">
        <v>54671</v>
      </c>
      <c r="I125" s="1" t="s">
        <v>379</v>
      </c>
      <c r="J125" s="1" t="s">
        <v>318</v>
      </c>
      <c r="K125" s="1" t="s">
        <v>23</v>
      </c>
      <c r="L125" s="1" t="s">
        <v>980</v>
      </c>
      <c r="M125" s="1" t="s">
        <v>190</v>
      </c>
      <c r="N125">
        <v>59449</v>
      </c>
      <c r="O125" s="1" t="s">
        <v>981</v>
      </c>
      <c r="P125" s="1" t="s">
        <v>15</v>
      </c>
      <c r="Q125">
        <v>45300</v>
      </c>
      <c r="R125">
        <f>winners_21___26[[#This Row],[winners 2021.votes]]-winners_21___26[[#This Row],[runner up 2021.votes]]</f>
        <v>12223</v>
      </c>
      <c r="S125">
        <f>winners_21___26[[#This Row],[winners 2026.votes]]-winners_21___26[[#This Row],[runner up 2026.votes]]</f>
        <v>9371</v>
      </c>
      <c r="T125">
        <v>145172</v>
      </c>
      <c r="U125">
        <v>150431</v>
      </c>
      <c r="V125" s="2">
        <f>winners_21___26[[#This Row],[Margin votes 2021]]/winners_21___26[[#This Row],[Total votes 2021.Sum of votes]]</f>
        <v>8.419667704516022E-2</v>
      </c>
      <c r="W125" s="3">
        <f>(winners_21___26[[#This Row],[Margin votes 2026]]/winners_21___26[[#This Row],[Total votes 2026.Sum of votes]])*100</f>
        <v>6.2294340927069554</v>
      </c>
      <c r="X125" t="str">
        <f>IF(winners_21___26[[#This Row],[winners 2021.party]]=winners_21___26[[#This Row],[winners 2026.party]],"Retained","Flipped")</f>
        <v>Flipped</v>
      </c>
    </row>
    <row r="126" spans="1:24" x14ac:dyDescent="0.3">
      <c r="A126" s="1" t="s">
        <v>401</v>
      </c>
      <c r="B126">
        <v>125</v>
      </c>
      <c r="C126" s="1" t="s">
        <v>402</v>
      </c>
      <c r="D126" s="1" t="s">
        <v>27</v>
      </c>
      <c r="E126">
        <v>96893</v>
      </c>
      <c r="F126" s="1" t="s">
        <v>403</v>
      </c>
      <c r="G126" s="1" t="s">
        <v>13</v>
      </c>
      <c r="H126">
        <v>68549</v>
      </c>
      <c r="I126" s="1" t="s">
        <v>379</v>
      </c>
      <c r="J126" s="1" t="s">
        <v>318</v>
      </c>
      <c r="K126" s="1" t="s">
        <v>18</v>
      </c>
      <c r="L126" s="1" t="s">
        <v>982</v>
      </c>
      <c r="M126" s="1" t="s">
        <v>21</v>
      </c>
      <c r="N126">
        <v>74998</v>
      </c>
      <c r="O126" s="1" t="s">
        <v>983</v>
      </c>
      <c r="P126" s="1" t="s">
        <v>27</v>
      </c>
      <c r="Q126">
        <v>65667</v>
      </c>
      <c r="R126">
        <f>winners_21___26[[#This Row],[winners 2021.votes]]-winners_21___26[[#This Row],[runner up 2021.votes]]</f>
        <v>21895</v>
      </c>
      <c r="S126">
        <f>winners_21___26[[#This Row],[winners 2026.votes]]-winners_21___26[[#This Row],[runner up 2026.votes]]</f>
        <v>2882</v>
      </c>
      <c r="T126">
        <v>194358</v>
      </c>
      <c r="U126">
        <v>203575</v>
      </c>
      <c r="V126" s="2">
        <f>winners_21___26[[#This Row],[Margin votes 2021]]/winners_21___26[[#This Row],[Total votes 2021.Sum of votes]]</f>
        <v>0.11265293942106834</v>
      </c>
      <c r="W126" s="3">
        <f>(winners_21___26[[#This Row],[Margin votes 2026]]/winners_21___26[[#This Row],[Total votes 2026.Sum of votes]])*100</f>
        <v>1.4156944615006755</v>
      </c>
      <c r="X126" t="str">
        <f>IF(winners_21___26[[#This Row],[winners 2021.party]]=winners_21___26[[#This Row],[winners 2026.party]],"Retained","Flipped")</f>
        <v>Flipped</v>
      </c>
    </row>
    <row r="127" spans="1:24" x14ac:dyDescent="0.3">
      <c r="A127" s="1" t="s">
        <v>404</v>
      </c>
      <c r="B127">
        <v>126</v>
      </c>
      <c r="C127" s="1" t="s">
        <v>405</v>
      </c>
      <c r="D127" s="1" t="s">
        <v>27</v>
      </c>
      <c r="E127">
        <v>84313</v>
      </c>
      <c r="F127" s="1" t="s">
        <v>406</v>
      </c>
      <c r="G127" s="1" t="s">
        <v>13</v>
      </c>
      <c r="H127">
        <v>70458</v>
      </c>
      <c r="I127" s="1" t="s">
        <v>379</v>
      </c>
      <c r="J127" s="1" t="s">
        <v>318</v>
      </c>
      <c r="K127" s="1" t="s">
        <v>18</v>
      </c>
      <c r="L127" s="1" t="s">
        <v>984</v>
      </c>
      <c r="M127" s="1" t="s">
        <v>13</v>
      </c>
      <c r="N127">
        <v>77875</v>
      </c>
      <c r="O127" s="1" t="s">
        <v>985</v>
      </c>
      <c r="P127" s="1" t="s">
        <v>532</v>
      </c>
      <c r="Q127">
        <v>54490</v>
      </c>
      <c r="R127">
        <f>winners_21___26[[#This Row],[winners 2021.votes]]-winners_21___26[[#This Row],[runner up 2021.votes]]</f>
        <v>6438</v>
      </c>
      <c r="S127">
        <f>winners_21___26[[#This Row],[winners 2026.votes]]-winners_21___26[[#This Row],[runner up 2026.votes]]</f>
        <v>15968</v>
      </c>
      <c r="T127">
        <v>181902</v>
      </c>
      <c r="U127">
        <v>188249</v>
      </c>
      <c r="V127" s="2">
        <f>winners_21___26[[#This Row],[Margin votes 2021]]/winners_21___26[[#This Row],[Total votes 2021.Sum of votes]]</f>
        <v>3.5392683972688591E-2</v>
      </c>
      <c r="W127" s="3">
        <f>(winners_21___26[[#This Row],[Margin votes 2026]]/winners_21___26[[#This Row],[Total votes 2026.Sum of votes]])*100</f>
        <v>8.4823823765332076</v>
      </c>
      <c r="X127" t="str">
        <f>IF(winners_21___26[[#This Row],[winners 2021.party]]=winners_21___26[[#This Row],[winners 2026.party]],"Retained","Flipped")</f>
        <v>Flipped</v>
      </c>
    </row>
    <row r="128" spans="1:24" x14ac:dyDescent="0.3">
      <c r="A128" s="1" t="s">
        <v>407</v>
      </c>
      <c r="B128">
        <v>127</v>
      </c>
      <c r="C128" s="1" t="s">
        <v>408</v>
      </c>
      <c r="D128" s="1" t="s">
        <v>13</v>
      </c>
      <c r="E128">
        <v>108566</v>
      </c>
      <c r="F128" s="1" t="s">
        <v>409</v>
      </c>
      <c r="G128" s="1" t="s">
        <v>27</v>
      </c>
      <c r="H128">
        <v>66986</v>
      </c>
      <c r="I128" s="1" t="s">
        <v>410</v>
      </c>
      <c r="J128" s="1" t="s">
        <v>411</v>
      </c>
      <c r="K128" s="1" t="s">
        <v>18</v>
      </c>
      <c r="L128" s="1" t="s">
        <v>986</v>
      </c>
      <c r="M128" s="1" t="s">
        <v>27</v>
      </c>
      <c r="N128">
        <v>78510</v>
      </c>
      <c r="O128" s="1" t="s">
        <v>987</v>
      </c>
      <c r="P128" s="1" t="s">
        <v>15</v>
      </c>
      <c r="Q128">
        <v>66293</v>
      </c>
      <c r="R128">
        <f>winners_21___26[[#This Row],[winners 2021.votes]]-winners_21___26[[#This Row],[runner up 2021.votes]]</f>
        <v>30056</v>
      </c>
      <c r="S128">
        <f>winners_21___26[[#This Row],[winners 2026.votes]]-winners_21___26[[#This Row],[runner up 2026.votes]]</f>
        <v>693</v>
      </c>
      <c r="T128">
        <v>205384</v>
      </c>
      <c r="U128">
        <v>208619</v>
      </c>
      <c r="V128" s="2">
        <f>winners_21___26[[#This Row],[Margin votes 2021]]/winners_21___26[[#This Row],[Total votes 2021.Sum of votes]]</f>
        <v>0.14634051337981538</v>
      </c>
      <c r="W128" s="3">
        <f>(winners_21___26[[#This Row],[Margin votes 2026]]/winners_21___26[[#This Row],[Total votes 2026.Sum of votes]])*100</f>
        <v>0.33218450860180521</v>
      </c>
      <c r="X128" t="str">
        <f>IF(winners_21___26[[#This Row],[winners 2021.party]]=winners_21___26[[#This Row],[winners 2026.party]],"Retained","Flipped")</f>
        <v>Flipped</v>
      </c>
    </row>
    <row r="129" spans="1:24" x14ac:dyDescent="0.3">
      <c r="A129" s="1" t="s">
        <v>412</v>
      </c>
      <c r="B129">
        <v>128</v>
      </c>
      <c r="C129" s="1" t="s">
        <v>413</v>
      </c>
      <c r="D129" s="1" t="s">
        <v>13</v>
      </c>
      <c r="E129">
        <v>109970</v>
      </c>
      <c r="F129" s="1" t="s">
        <v>414</v>
      </c>
      <c r="G129" s="1" t="s">
        <v>13</v>
      </c>
      <c r="H129">
        <v>93099</v>
      </c>
      <c r="I129" s="1" t="s">
        <v>410</v>
      </c>
      <c r="J129" s="1" t="s">
        <v>411</v>
      </c>
      <c r="K129" s="1" t="s">
        <v>18</v>
      </c>
      <c r="L129" s="1" t="s">
        <v>988</v>
      </c>
      <c r="M129" s="1" t="s">
        <v>27</v>
      </c>
      <c r="N129">
        <v>81228</v>
      </c>
      <c r="O129" s="1" t="s">
        <v>989</v>
      </c>
      <c r="P129" s="1" t="s">
        <v>324</v>
      </c>
      <c r="Q129">
        <v>49850</v>
      </c>
      <c r="R129">
        <f>winners_21___26[[#This Row],[winners 2021.votes]]-winners_21___26[[#This Row],[runner up 2021.votes]]</f>
        <v>28742</v>
      </c>
      <c r="S129">
        <f>winners_21___26[[#This Row],[winners 2026.votes]]-winners_21___26[[#This Row],[runner up 2026.votes]]</f>
        <v>43249</v>
      </c>
      <c r="T129">
        <v>201756</v>
      </c>
      <c r="U129">
        <v>201624</v>
      </c>
      <c r="V129" s="2">
        <f>winners_21___26[[#This Row],[Margin votes 2021]]/winners_21___26[[#This Row],[Total votes 2021.Sum of votes]]</f>
        <v>0.14245920815242175</v>
      </c>
      <c r="W129" s="3">
        <f>(winners_21___26[[#This Row],[Margin votes 2026]]/winners_21___26[[#This Row],[Total votes 2026.Sum of votes]])*100</f>
        <v>21.450323374201481</v>
      </c>
      <c r="X129" t="str">
        <f>IF(winners_21___26[[#This Row],[winners 2021.party]]=winners_21___26[[#This Row],[winners 2026.party]],"Retained","Flipped")</f>
        <v>Retained</v>
      </c>
    </row>
    <row r="130" spans="1:24" x14ac:dyDescent="0.3">
      <c r="A130" s="1" t="s">
        <v>415</v>
      </c>
      <c r="B130">
        <v>129</v>
      </c>
      <c r="C130" s="1" t="s">
        <v>416</v>
      </c>
      <c r="D130" s="1" t="s">
        <v>13</v>
      </c>
      <c r="E130">
        <v>165809</v>
      </c>
      <c r="F130" s="1" t="s">
        <v>417</v>
      </c>
      <c r="G130" s="1" t="s">
        <v>13</v>
      </c>
      <c r="H130">
        <v>106240</v>
      </c>
      <c r="I130" s="1" t="s">
        <v>410</v>
      </c>
      <c r="J130" s="1" t="s">
        <v>411</v>
      </c>
      <c r="K130" s="1" t="s">
        <v>18</v>
      </c>
      <c r="L130" s="1" t="s">
        <v>990</v>
      </c>
      <c r="M130" s="1" t="s">
        <v>198</v>
      </c>
      <c r="N130">
        <v>30238</v>
      </c>
      <c r="O130" s="1" t="s">
        <v>991</v>
      </c>
      <c r="P130" s="1" t="s">
        <v>15</v>
      </c>
      <c r="Q130">
        <v>83872</v>
      </c>
      <c r="R130">
        <f>winners_21___26[[#This Row],[winners 2021.votes]]-winners_21___26[[#This Row],[runner up 2021.votes]]</f>
        <v>135571</v>
      </c>
      <c r="S130">
        <f>winners_21___26[[#This Row],[winners 2026.votes]]-winners_21___26[[#This Row],[runner up 2026.votes]]</f>
        <v>22368</v>
      </c>
      <c r="T130">
        <v>229940</v>
      </c>
      <c r="U130">
        <v>237183</v>
      </c>
      <c r="V130" s="2">
        <f>winners_21___26[[#This Row],[Margin votes 2021]]/winners_21___26[[#This Row],[Total votes 2021.Sum of votes]]</f>
        <v>0.58959293728798812</v>
      </c>
      <c r="W130" s="3">
        <f>(winners_21___26[[#This Row],[Margin votes 2026]]/winners_21___26[[#This Row],[Total votes 2026.Sum of votes]])*100</f>
        <v>9.4306927562262057</v>
      </c>
      <c r="X130" t="str">
        <f>IF(winners_21___26[[#This Row],[winners 2021.party]]=winners_21___26[[#This Row],[winners 2026.party]],"Retained","Flipped")</f>
        <v>Retained</v>
      </c>
    </row>
    <row r="131" spans="1:24" x14ac:dyDescent="0.3">
      <c r="A131" s="1" t="s">
        <v>418</v>
      </c>
      <c r="B131">
        <v>130</v>
      </c>
      <c r="C131" s="1" t="s">
        <v>419</v>
      </c>
      <c r="D131" s="1" t="s">
        <v>27</v>
      </c>
      <c r="E131">
        <v>91461</v>
      </c>
      <c r="F131" s="1" t="s">
        <v>420</v>
      </c>
      <c r="G131" s="1" t="s">
        <v>15</v>
      </c>
      <c r="H131">
        <v>68580</v>
      </c>
      <c r="I131" s="1" t="s">
        <v>410</v>
      </c>
      <c r="J131" s="1" t="s">
        <v>411</v>
      </c>
      <c r="K131" s="1" t="s">
        <v>23</v>
      </c>
      <c r="L131" s="1" t="s">
        <v>992</v>
      </c>
      <c r="M131" s="1" t="s">
        <v>13</v>
      </c>
      <c r="N131">
        <v>63843</v>
      </c>
      <c r="O131" s="1" t="s">
        <v>993</v>
      </c>
      <c r="P131" s="1" t="s">
        <v>13</v>
      </c>
      <c r="Q131">
        <v>65655</v>
      </c>
      <c r="R131">
        <f>winners_21___26[[#This Row],[winners 2021.votes]]-winners_21___26[[#This Row],[runner up 2021.votes]]</f>
        <v>27618</v>
      </c>
      <c r="S131">
        <f>winners_21___26[[#This Row],[winners 2026.votes]]-winners_21___26[[#This Row],[runner up 2026.votes]]</f>
        <v>2925</v>
      </c>
      <c r="T131">
        <v>184805</v>
      </c>
      <c r="U131">
        <v>197593</v>
      </c>
      <c r="V131" s="2">
        <f>winners_21___26[[#This Row],[Margin votes 2021]]/winners_21___26[[#This Row],[Total votes 2021.Sum of votes]]</f>
        <v>0.14944400854955223</v>
      </c>
      <c r="W131" s="3">
        <f>(winners_21___26[[#This Row],[Margin votes 2026]]/winners_21___26[[#This Row],[Total votes 2026.Sum of votes]])*100</f>
        <v>1.4803155982246334</v>
      </c>
      <c r="X131" t="str">
        <f>IF(winners_21___26[[#This Row],[winners 2021.party]]=winners_21___26[[#This Row],[winners 2026.party]],"Retained","Flipped")</f>
        <v>Flipped</v>
      </c>
    </row>
    <row r="132" spans="1:24" x14ac:dyDescent="0.3">
      <c r="A132" s="1" t="s">
        <v>421</v>
      </c>
      <c r="B132">
        <v>131</v>
      </c>
      <c r="C132" s="1" t="s">
        <v>422</v>
      </c>
      <c r="D132" s="1" t="s">
        <v>27</v>
      </c>
      <c r="E132">
        <v>107762</v>
      </c>
      <c r="F132" s="1" t="s">
        <v>423</v>
      </c>
      <c r="G132" s="1" t="s">
        <v>27</v>
      </c>
      <c r="H132">
        <v>85708</v>
      </c>
      <c r="I132" s="1" t="s">
        <v>410</v>
      </c>
      <c r="J132" s="1" t="s">
        <v>411</v>
      </c>
      <c r="K132" s="1" t="s">
        <v>18</v>
      </c>
      <c r="L132" s="1" t="s">
        <v>994</v>
      </c>
      <c r="M132" s="1" t="s">
        <v>13</v>
      </c>
      <c r="N132">
        <v>95830</v>
      </c>
      <c r="O132" s="1" t="s">
        <v>995</v>
      </c>
      <c r="P132" s="1" t="s">
        <v>13</v>
      </c>
      <c r="Q132">
        <v>73839</v>
      </c>
      <c r="R132">
        <f>winners_21___26[[#This Row],[winners 2021.votes]]-winners_21___26[[#This Row],[runner up 2021.votes]]</f>
        <v>11932</v>
      </c>
      <c r="S132">
        <f>winners_21___26[[#This Row],[winners 2026.votes]]-winners_21___26[[#This Row],[runner up 2026.votes]]</f>
        <v>11869</v>
      </c>
      <c r="T132">
        <v>225244</v>
      </c>
      <c r="U132">
        <v>239140</v>
      </c>
      <c r="V132" s="2">
        <f>winners_21___26[[#This Row],[Margin votes 2021]]/winners_21___26[[#This Row],[Total votes 2021.Sum of votes]]</f>
        <v>5.2973664115359344E-2</v>
      </c>
      <c r="W132" s="3">
        <f>(winners_21___26[[#This Row],[Margin votes 2026]]/winners_21___26[[#This Row],[Total votes 2026.Sum of votes]])*100</f>
        <v>4.9632014719411224</v>
      </c>
      <c r="X132" t="str">
        <f>IF(winners_21___26[[#This Row],[winners 2021.party]]=winners_21___26[[#This Row],[winners 2026.party]],"Retained","Flipped")</f>
        <v>Retained</v>
      </c>
    </row>
    <row r="133" spans="1:24" x14ac:dyDescent="0.3">
      <c r="A133" s="1" t="s">
        <v>410</v>
      </c>
      <c r="B133">
        <v>132</v>
      </c>
      <c r="C133" s="1" t="s">
        <v>424</v>
      </c>
      <c r="D133" s="1" t="s">
        <v>27</v>
      </c>
      <c r="E133">
        <v>90595</v>
      </c>
      <c r="F133" s="1" t="s">
        <v>425</v>
      </c>
      <c r="G133" s="1" t="s">
        <v>13</v>
      </c>
      <c r="H133">
        <v>74489</v>
      </c>
      <c r="I133" s="1" t="s">
        <v>410</v>
      </c>
      <c r="J133" s="1" t="s">
        <v>411</v>
      </c>
      <c r="K133" s="1" t="s">
        <v>18</v>
      </c>
      <c r="L133" s="1" t="s">
        <v>996</v>
      </c>
      <c r="M133" s="1" t="s">
        <v>520</v>
      </c>
      <c r="N133">
        <v>72848</v>
      </c>
      <c r="O133" s="1" t="s">
        <v>997</v>
      </c>
      <c r="P133" s="1" t="s">
        <v>15</v>
      </c>
      <c r="Q133">
        <v>73358</v>
      </c>
      <c r="R133">
        <f>winners_21___26[[#This Row],[winners 2021.votes]]-winners_21___26[[#This Row],[runner up 2021.votes]]</f>
        <v>17747</v>
      </c>
      <c r="S133">
        <f>winners_21___26[[#This Row],[winners 2026.votes]]-winners_21___26[[#This Row],[runner up 2026.votes]]</f>
        <v>1131</v>
      </c>
      <c r="T133">
        <v>195118</v>
      </c>
      <c r="U133">
        <v>212024</v>
      </c>
      <c r="V133" s="2">
        <f>winners_21___26[[#This Row],[Margin votes 2021]]/winners_21___26[[#This Row],[Total votes 2021.Sum of votes]]</f>
        <v>9.0955216843141076E-2</v>
      </c>
      <c r="W133" s="3">
        <f>(winners_21___26[[#This Row],[Margin votes 2026]]/winners_21___26[[#This Row],[Total votes 2026.Sum of votes]])*100</f>
        <v>0.5334301777157302</v>
      </c>
      <c r="X133" t="str">
        <f>IF(winners_21___26[[#This Row],[winners 2021.party]]=winners_21___26[[#This Row],[winners 2026.party]],"Retained","Flipped")</f>
        <v>Flipped</v>
      </c>
    </row>
    <row r="134" spans="1:24" x14ac:dyDescent="0.3">
      <c r="A134" s="1" t="s">
        <v>426</v>
      </c>
      <c r="B134">
        <v>133</v>
      </c>
      <c r="C134" s="1" t="s">
        <v>427</v>
      </c>
      <c r="D134" s="1" t="s">
        <v>13</v>
      </c>
      <c r="E134">
        <v>106481</v>
      </c>
      <c r="F134" s="1" t="s">
        <v>428</v>
      </c>
      <c r="G134" s="1" t="s">
        <v>13</v>
      </c>
      <c r="H134">
        <v>84948</v>
      </c>
      <c r="I134" s="1" t="s">
        <v>410</v>
      </c>
      <c r="J134" s="1" t="s">
        <v>411</v>
      </c>
      <c r="K134" s="1" t="s">
        <v>18</v>
      </c>
      <c r="L134" s="1" t="s">
        <v>998</v>
      </c>
      <c r="M134" s="1" t="s">
        <v>27</v>
      </c>
      <c r="N134">
        <v>88928</v>
      </c>
      <c r="O134" s="1" t="s">
        <v>999</v>
      </c>
      <c r="P134" s="1" t="s">
        <v>27</v>
      </c>
      <c r="Q134">
        <v>74885</v>
      </c>
      <c r="R134">
        <f>winners_21___26[[#This Row],[winners 2021.votes]]-winners_21___26[[#This Row],[runner up 2021.votes]]</f>
        <v>17553</v>
      </c>
      <c r="S134">
        <f>winners_21___26[[#This Row],[winners 2026.votes]]-winners_21___26[[#This Row],[runner up 2026.votes]]</f>
        <v>10063</v>
      </c>
      <c r="T134">
        <v>213080</v>
      </c>
      <c r="U134">
        <v>226554</v>
      </c>
      <c r="V134" s="2">
        <f>winners_21___26[[#This Row],[Margin votes 2021]]/winners_21___26[[#This Row],[Total votes 2021.Sum of votes]]</f>
        <v>8.2377510794067951E-2</v>
      </c>
      <c r="W134" s="3">
        <f>(winners_21___26[[#This Row],[Margin votes 2026]]/winners_21___26[[#This Row],[Total votes 2026.Sum of votes]])*100</f>
        <v>4.441766642831289</v>
      </c>
      <c r="X134" t="str">
        <f>IF(winners_21___26[[#This Row],[winners 2021.party]]=winners_21___26[[#This Row],[winners 2026.party]],"Retained","Flipped")</f>
        <v>Retained</v>
      </c>
    </row>
    <row r="135" spans="1:24" x14ac:dyDescent="0.3">
      <c r="A135" s="1" t="s">
        <v>429</v>
      </c>
      <c r="B135">
        <v>134</v>
      </c>
      <c r="C135" s="1" t="s">
        <v>430</v>
      </c>
      <c r="D135" s="1" t="s">
        <v>13</v>
      </c>
      <c r="E135">
        <v>93369</v>
      </c>
      <c r="F135" s="1" t="s">
        <v>430</v>
      </c>
      <c r="G135" s="1" t="s">
        <v>13</v>
      </c>
      <c r="H135">
        <v>70827</v>
      </c>
      <c r="I135" s="1" t="s">
        <v>431</v>
      </c>
      <c r="J135" s="1" t="s">
        <v>318</v>
      </c>
      <c r="K135" s="1" t="s">
        <v>18</v>
      </c>
      <c r="L135" s="1" t="s">
        <v>1000</v>
      </c>
      <c r="M135" s="1" t="s">
        <v>324</v>
      </c>
      <c r="N135">
        <v>68553</v>
      </c>
      <c r="O135" s="1" t="s">
        <v>1001</v>
      </c>
      <c r="P135" s="1" t="s">
        <v>15</v>
      </c>
      <c r="Q135">
        <v>51445</v>
      </c>
      <c r="R135">
        <f>winners_21___26[[#This Row],[winners 2021.votes]]-winners_21___26[[#This Row],[runner up 2021.votes]]</f>
        <v>24816</v>
      </c>
      <c r="S135">
        <f>winners_21___26[[#This Row],[winners 2026.votes]]-winners_21___26[[#This Row],[runner up 2026.votes]]</f>
        <v>19382</v>
      </c>
      <c r="T135">
        <v>177114</v>
      </c>
      <c r="U135">
        <v>181078</v>
      </c>
      <c r="V135" s="2">
        <f>winners_21___26[[#This Row],[Margin votes 2021]]/winners_21___26[[#This Row],[Total votes 2021.Sum of votes]]</f>
        <v>0.140113147464345</v>
      </c>
      <c r="W135" s="3">
        <f>(winners_21___26[[#This Row],[Margin votes 2026]]/winners_21___26[[#This Row],[Total votes 2026.Sum of votes]])*100</f>
        <v>10.703674659538983</v>
      </c>
      <c r="X135" t="str">
        <f>IF(winners_21___26[[#This Row],[winners 2021.party]]=winners_21___26[[#This Row],[winners 2026.party]],"Retained","Flipped")</f>
        <v>Retained</v>
      </c>
    </row>
    <row r="136" spans="1:24" x14ac:dyDescent="0.3">
      <c r="A136" s="1" t="s">
        <v>431</v>
      </c>
      <c r="B136">
        <v>135</v>
      </c>
      <c r="C136" s="1" t="s">
        <v>432</v>
      </c>
      <c r="D136" s="1" t="s">
        <v>13</v>
      </c>
      <c r="E136">
        <v>101757</v>
      </c>
      <c r="F136" s="1" t="s">
        <v>433</v>
      </c>
      <c r="G136" s="1" t="s">
        <v>27</v>
      </c>
      <c r="H136">
        <v>71542</v>
      </c>
      <c r="I136" s="1" t="s">
        <v>431</v>
      </c>
      <c r="J136" s="1" t="s">
        <v>318</v>
      </c>
      <c r="K136" s="1" t="s">
        <v>18</v>
      </c>
      <c r="L136" s="1" t="s">
        <v>1002</v>
      </c>
      <c r="M136" s="1" t="s">
        <v>27</v>
      </c>
      <c r="N136">
        <v>89309</v>
      </c>
      <c r="O136" s="1" t="s">
        <v>1003</v>
      </c>
      <c r="P136" s="1" t="s">
        <v>15</v>
      </c>
      <c r="Q136">
        <v>69721</v>
      </c>
      <c r="R136">
        <f>winners_21___26[[#This Row],[winners 2021.votes]]-winners_21___26[[#This Row],[runner up 2021.votes]]</f>
        <v>12448</v>
      </c>
      <c r="S136">
        <f>winners_21___26[[#This Row],[winners 2026.votes]]-winners_21___26[[#This Row],[runner up 2026.votes]]</f>
        <v>1821</v>
      </c>
      <c r="T136">
        <v>207310</v>
      </c>
      <c r="U136">
        <v>216829</v>
      </c>
      <c r="V136" s="2">
        <f>winners_21___26[[#This Row],[Margin votes 2021]]/winners_21___26[[#This Row],[Total votes 2021.Sum of votes]]</f>
        <v>6.0045342723457622E-2</v>
      </c>
      <c r="W136" s="3">
        <f>(winners_21___26[[#This Row],[Margin votes 2026]]/winners_21___26[[#This Row],[Total votes 2026.Sum of votes]])*100</f>
        <v>0.8398323102537022</v>
      </c>
      <c r="X136" t="str">
        <f>IF(winners_21___26[[#This Row],[winners 2021.party]]=winners_21___26[[#This Row],[winners 2026.party]],"Retained","Flipped")</f>
        <v>Flipped</v>
      </c>
    </row>
    <row r="137" spans="1:24" x14ac:dyDescent="0.3">
      <c r="A137" s="1" t="s">
        <v>434</v>
      </c>
      <c r="B137">
        <v>136</v>
      </c>
      <c r="C137" s="1" t="s">
        <v>435</v>
      </c>
      <c r="D137" s="1" t="s">
        <v>13</v>
      </c>
      <c r="E137">
        <v>96540</v>
      </c>
      <c r="F137" s="1" t="s">
        <v>436</v>
      </c>
      <c r="G137" s="1" t="s">
        <v>15</v>
      </c>
      <c r="H137">
        <v>62378</v>
      </c>
      <c r="I137" s="1" t="s">
        <v>431</v>
      </c>
      <c r="J137" s="1" t="s">
        <v>318</v>
      </c>
      <c r="K137" s="1" t="s">
        <v>23</v>
      </c>
      <c r="L137" s="1" t="s">
        <v>1004</v>
      </c>
      <c r="M137" s="1" t="s">
        <v>27</v>
      </c>
      <c r="N137">
        <v>64915</v>
      </c>
      <c r="O137" s="1" t="s">
        <v>1005</v>
      </c>
      <c r="P137" s="1" t="s">
        <v>27</v>
      </c>
      <c r="Q137">
        <v>58875</v>
      </c>
      <c r="R137">
        <f>winners_21___26[[#This Row],[winners 2021.votes]]-winners_21___26[[#This Row],[runner up 2021.votes]]</f>
        <v>31625</v>
      </c>
      <c r="S137">
        <f>winners_21___26[[#This Row],[winners 2026.votes]]-winners_21___26[[#This Row],[runner up 2026.votes]]</f>
        <v>3503</v>
      </c>
      <c r="T137">
        <v>180902</v>
      </c>
      <c r="U137">
        <v>189357</v>
      </c>
      <c r="V137" s="2">
        <f>winners_21___26[[#This Row],[Margin votes 2021]]/winners_21___26[[#This Row],[Total votes 2021.Sum of votes]]</f>
        <v>0.17481840996782788</v>
      </c>
      <c r="W137" s="3">
        <f>(winners_21___26[[#This Row],[Margin votes 2026]]/winners_21___26[[#This Row],[Total votes 2026.Sum of votes]])*100</f>
        <v>1.8499448132363736</v>
      </c>
      <c r="X137" t="str">
        <f>IF(winners_21___26[[#This Row],[winners 2021.party]]=winners_21___26[[#This Row],[winners 2026.party]],"Retained","Flipped")</f>
        <v>Flipped</v>
      </c>
    </row>
    <row r="138" spans="1:24" x14ac:dyDescent="0.3">
      <c r="A138" s="1" t="s">
        <v>437</v>
      </c>
      <c r="B138">
        <v>137</v>
      </c>
      <c r="C138" s="1" t="s">
        <v>438</v>
      </c>
      <c r="D138" s="1" t="s">
        <v>13</v>
      </c>
      <c r="E138">
        <v>100829</v>
      </c>
      <c r="F138" s="1" t="s">
        <v>439</v>
      </c>
      <c r="G138" s="1" t="s">
        <v>13</v>
      </c>
      <c r="H138">
        <v>68138</v>
      </c>
      <c r="I138" s="1" t="s">
        <v>431</v>
      </c>
      <c r="J138" s="1" t="s">
        <v>318</v>
      </c>
      <c r="K138" s="1" t="s">
        <v>18</v>
      </c>
      <c r="L138" s="1" t="s">
        <v>1006</v>
      </c>
      <c r="M138" s="1" t="s">
        <v>27</v>
      </c>
      <c r="N138">
        <v>77289</v>
      </c>
      <c r="O138" s="1" t="s">
        <v>1007</v>
      </c>
      <c r="P138" s="1" t="s">
        <v>15</v>
      </c>
      <c r="Q138">
        <v>67559</v>
      </c>
      <c r="R138">
        <f>winners_21___26[[#This Row],[winners 2021.votes]]-winners_21___26[[#This Row],[runner up 2021.votes]]</f>
        <v>23540</v>
      </c>
      <c r="S138">
        <f>winners_21___26[[#This Row],[winners 2026.votes]]-winners_21___26[[#This Row],[runner up 2026.votes]]</f>
        <v>579</v>
      </c>
      <c r="T138">
        <v>197456</v>
      </c>
      <c r="U138">
        <v>209091</v>
      </c>
      <c r="V138" s="2">
        <f>winners_21___26[[#This Row],[Margin votes 2021]]/winners_21___26[[#This Row],[Total votes 2021.Sum of votes]]</f>
        <v>0.11921643302811766</v>
      </c>
      <c r="W138" s="3">
        <f>(winners_21___26[[#This Row],[Margin votes 2026]]/winners_21___26[[#This Row],[Total votes 2026.Sum of votes]])*100</f>
        <v>0.2769129230813378</v>
      </c>
      <c r="X138" t="str">
        <f>IF(winners_21___26[[#This Row],[winners 2021.party]]=winners_21___26[[#This Row],[winners 2026.party]],"Retained","Flipped")</f>
        <v>Retained</v>
      </c>
    </row>
    <row r="139" spans="1:24" x14ac:dyDescent="0.3">
      <c r="A139" s="1" t="s">
        <v>440</v>
      </c>
      <c r="B139">
        <v>138</v>
      </c>
      <c r="C139" s="1" t="s">
        <v>441</v>
      </c>
      <c r="D139" s="1" t="s">
        <v>13</v>
      </c>
      <c r="E139">
        <v>98077</v>
      </c>
      <c r="F139" s="1" t="s">
        <v>442</v>
      </c>
      <c r="G139" s="1" t="s">
        <v>15</v>
      </c>
      <c r="H139">
        <v>83041</v>
      </c>
      <c r="I139" s="1" t="s">
        <v>443</v>
      </c>
      <c r="J139" s="1" t="s">
        <v>444</v>
      </c>
      <c r="K139" s="1" t="s">
        <v>18</v>
      </c>
      <c r="L139" s="1" t="s">
        <v>1008</v>
      </c>
      <c r="M139" s="1" t="s">
        <v>27</v>
      </c>
      <c r="N139">
        <v>85834</v>
      </c>
      <c r="O139" s="1" t="s">
        <v>1009</v>
      </c>
      <c r="P139" s="1" t="s">
        <v>27</v>
      </c>
      <c r="Q139">
        <v>81615</v>
      </c>
      <c r="R139">
        <f>winners_21___26[[#This Row],[winners 2021.votes]]-winners_21___26[[#This Row],[runner up 2021.votes]]</f>
        <v>12243</v>
      </c>
      <c r="S139">
        <f>winners_21___26[[#This Row],[winners 2026.votes]]-winners_21___26[[#This Row],[runner up 2026.votes]]</f>
        <v>1426</v>
      </c>
      <c r="T139">
        <v>221748</v>
      </c>
      <c r="U139">
        <v>241216</v>
      </c>
      <c r="V139" s="2">
        <f>winners_21___26[[#This Row],[Margin votes 2021]]/winners_21___26[[#This Row],[Total votes 2021.Sum of votes]]</f>
        <v>5.5211320958926349E-2</v>
      </c>
      <c r="W139" s="3">
        <f>(winners_21___26[[#This Row],[Margin votes 2026]]/winners_21___26[[#This Row],[Total votes 2026.Sum of votes]])*100</f>
        <v>0.59117139824887244</v>
      </c>
      <c r="X139" t="str">
        <f>IF(winners_21___26[[#This Row],[winners 2021.party]]=winners_21___26[[#This Row],[winners 2026.party]],"Retained","Flipped")</f>
        <v>Flipped</v>
      </c>
    </row>
    <row r="140" spans="1:24" x14ac:dyDescent="0.3">
      <c r="A140" s="1" t="s">
        <v>445</v>
      </c>
      <c r="B140">
        <v>139</v>
      </c>
      <c r="C140" s="1" t="s">
        <v>446</v>
      </c>
      <c r="D140" s="1" t="s">
        <v>13</v>
      </c>
      <c r="E140">
        <v>113904</v>
      </c>
      <c r="F140" s="1" t="s">
        <v>447</v>
      </c>
      <c r="G140" s="1" t="s">
        <v>15</v>
      </c>
      <c r="H140">
        <v>103235</v>
      </c>
      <c r="I140" s="1" t="s">
        <v>443</v>
      </c>
      <c r="J140" s="1" t="s">
        <v>444</v>
      </c>
      <c r="K140" s="1" t="s">
        <v>18</v>
      </c>
      <c r="L140" s="1" t="s">
        <v>1010</v>
      </c>
      <c r="M140" s="1" t="s">
        <v>27</v>
      </c>
      <c r="N140">
        <v>93989</v>
      </c>
      <c r="O140" s="1" t="s">
        <v>1011</v>
      </c>
      <c r="P140" s="1" t="s">
        <v>13</v>
      </c>
      <c r="Q140">
        <v>69645</v>
      </c>
      <c r="R140">
        <f>winners_21___26[[#This Row],[winners 2021.votes]]-winners_21___26[[#This Row],[runner up 2021.votes]]</f>
        <v>19915</v>
      </c>
      <c r="S140">
        <f>winners_21___26[[#This Row],[winners 2026.votes]]-winners_21___26[[#This Row],[runner up 2026.votes]]</f>
        <v>33590</v>
      </c>
      <c r="T140">
        <v>240240</v>
      </c>
      <c r="U140">
        <v>254985</v>
      </c>
      <c r="V140" s="2">
        <f>winners_21___26[[#This Row],[Margin votes 2021]]/winners_21___26[[#This Row],[Total votes 2021.Sum of votes]]</f>
        <v>8.28962703962704E-2</v>
      </c>
      <c r="W140" s="3">
        <f>(winners_21___26[[#This Row],[Margin votes 2026]]/winners_21___26[[#This Row],[Total votes 2026.Sum of votes]])*100</f>
        <v>13.173323921014962</v>
      </c>
      <c r="X140" t="str">
        <f>IF(winners_21___26[[#This Row],[winners 2021.party]]=winners_21___26[[#This Row],[winners 2026.party]],"Retained","Flipped")</f>
        <v>Flipped</v>
      </c>
    </row>
    <row r="141" spans="1:24" x14ac:dyDescent="0.3">
      <c r="A141" s="1" t="s">
        <v>448</v>
      </c>
      <c r="B141">
        <v>140</v>
      </c>
      <c r="C141" s="1" t="s">
        <v>449</v>
      </c>
      <c r="D141" s="1" t="s">
        <v>13</v>
      </c>
      <c r="E141">
        <v>118133</v>
      </c>
      <c r="F141" s="1" t="s">
        <v>450</v>
      </c>
      <c r="G141" s="1" t="s">
        <v>13</v>
      </c>
      <c r="H141">
        <v>88235</v>
      </c>
      <c r="I141" s="1" t="s">
        <v>443</v>
      </c>
      <c r="J141" s="1" t="s">
        <v>444</v>
      </c>
      <c r="K141" s="1" t="s">
        <v>18</v>
      </c>
      <c r="L141" s="1" t="s">
        <v>1012</v>
      </c>
      <c r="M141" s="1" t="s">
        <v>27</v>
      </c>
      <c r="N141">
        <v>33024</v>
      </c>
      <c r="O141" s="1" t="s">
        <v>1013</v>
      </c>
      <c r="P141" s="1" t="s">
        <v>15</v>
      </c>
      <c r="Q141">
        <v>83449</v>
      </c>
      <c r="R141">
        <f>winners_21___26[[#This Row],[winners 2021.votes]]-winners_21___26[[#This Row],[runner up 2021.votes]]</f>
        <v>85109</v>
      </c>
      <c r="S141">
        <f>winners_21___26[[#This Row],[winners 2026.votes]]-winners_21___26[[#This Row],[runner up 2026.votes]]</f>
        <v>4786</v>
      </c>
      <c r="T141">
        <v>183099</v>
      </c>
      <c r="U141">
        <v>196347</v>
      </c>
      <c r="V141" s="2">
        <f>winners_21___26[[#This Row],[Margin votes 2021]]/winners_21___26[[#This Row],[Total votes 2021.Sum of votes]]</f>
        <v>0.46482504000567998</v>
      </c>
      <c r="W141" s="3">
        <f>(winners_21___26[[#This Row],[Margin votes 2026]]/winners_21___26[[#This Row],[Total votes 2026.Sum of votes]])*100</f>
        <v>2.4375213270383558</v>
      </c>
      <c r="X141" t="str">
        <f>IF(winners_21___26[[#This Row],[winners 2021.party]]=winners_21___26[[#This Row],[winners 2026.party]],"Retained","Flipped")</f>
        <v>Retained</v>
      </c>
    </row>
    <row r="142" spans="1:24" x14ac:dyDescent="0.3">
      <c r="A142" s="1" t="s">
        <v>451</v>
      </c>
      <c r="B142">
        <v>141</v>
      </c>
      <c r="C142" s="1" t="s">
        <v>452</v>
      </c>
      <c r="D142" s="1" t="s">
        <v>13</v>
      </c>
      <c r="E142">
        <v>94302</v>
      </c>
      <c r="F142" s="1" t="s">
        <v>55</v>
      </c>
      <c r="G142" s="1" t="s">
        <v>15</v>
      </c>
      <c r="H142">
        <v>91381</v>
      </c>
      <c r="I142" s="1" t="s">
        <v>443</v>
      </c>
      <c r="J142" s="1" t="s">
        <v>444</v>
      </c>
      <c r="K142" s="1" t="s">
        <v>18</v>
      </c>
      <c r="L142" s="1" t="s">
        <v>1014</v>
      </c>
      <c r="M142" s="1" t="s">
        <v>27</v>
      </c>
      <c r="N142">
        <v>40505</v>
      </c>
      <c r="O142" s="1" t="s">
        <v>1015</v>
      </c>
      <c r="P142" s="1" t="s">
        <v>13</v>
      </c>
      <c r="Q142">
        <v>63965</v>
      </c>
      <c r="R142">
        <f>winners_21___26[[#This Row],[winners 2021.votes]]-winners_21___26[[#This Row],[runner up 2021.votes]]</f>
        <v>53797</v>
      </c>
      <c r="S142">
        <f>winners_21___26[[#This Row],[winners 2026.votes]]-winners_21___26[[#This Row],[runner up 2026.votes]]</f>
        <v>27416</v>
      </c>
      <c r="T142">
        <v>172856</v>
      </c>
      <c r="U142">
        <v>182493</v>
      </c>
      <c r="V142" s="2">
        <f>winners_21___26[[#This Row],[Margin votes 2021]]/winners_21___26[[#This Row],[Total votes 2021.Sum of votes]]</f>
        <v>0.31122437173138334</v>
      </c>
      <c r="W142" s="3">
        <f>(winners_21___26[[#This Row],[Margin votes 2026]]/winners_21___26[[#This Row],[Total votes 2026.Sum of votes]])*100</f>
        <v>15.023041979692373</v>
      </c>
      <c r="X142" t="str">
        <f>IF(winners_21___26[[#This Row],[winners 2021.party]]=winners_21___26[[#This Row],[winners 2026.party]],"Retained","Flipped")</f>
        <v>Flipped</v>
      </c>
    </row>
    <row r="143" spans="1:24" x14ac:dyDescent="0.3">
      <c r="A143" s="1" t="s">
        <v>453</v>
      </c>
      <c r="B143">
        <v>142</v>
      </c>
      <c r="C143" s="1" t="s">
        <v>454</v>
      </c>
      <c r="D143" s="1" t="s">
        <v>13</v>
      </c>
      <c r="E143">
        <v>105424</v>
      </c>
      <c r="F143" s="1" t="s">
        <v>455</v>
      </c>
      <c r="G143" s="1" t="s">
        <v>15</v>
      </c>
      <c r="H143">
        <v>89837</v>
      </c>
      <c r="I143" s="1" t="s">
        <v>443</v>
      </c>
      <c r="J143" s="1" t="s">
        <v>444</v>
      </c>
      <c r="K143" s="1" t="s">
        <v>18</v>
      </c>
      <c r="L143" s="1" t="s">
        <v>1016</v>
      </c>
      <c r="M143" s="1" t="s">
        <v>27</v>
      </c>
      <c r="N143">
        <v>55727</v>
      </c>
      <c r="O143" s="1" t="s">
        <v>454</v>
      </c>
      <c r="P143" s="1" t="s">
        <v>13</v>
      </c>
      <c r="Q143">
        <v>81132</v>
      </c>
      <c r="R143">
        <f>winners_21___26[[#This Row],[winners 2021.votes]]-winners_21___26[[#This Row],[runner up 2021.votes]]</f>
        <v>49697</v>
      </c>
      <c r="S143">
        <f>winners_21___26[[#This Row],[winners 2026.votes]]-winners_21___26[[#This Row],[runner up 2026.votes]]</f>
        <v>8705</v>
      </c>
      <c r="T143">
        <v>197013</v>
      </c>
      <c r="U143">
        <v>213583</v>
      </c>
      <c r="V143" s="2">
        <f>winners_21___26[[#This Row],[Margin votes 2021]]/winners_21___26[[#This Row],[Total votes 2021.Sum of votes]]</f>
        <v>0.25225238943623007</v>
      </c>
      <c r="W143" s="3">
        <f>(winners_21___26[[#This Row],[Margin votes 2026]]/winners_21___26[[#This Row],[Total votes 2026.Sum of votes]])*100</f>
        <v>4.0756989086210043</v>
      </c>
      <c r="X143" t="str">
        <f>IF(winners_21___26[[#This Row],[winners 2021.party]]=winners_21___26[[#This Row],[winners 2026.party]],"Retained","Flipped")</f>
        <v>Flipped</v>
      </c>
    </row>
    <row r="144" spans="1:24" x14ac:dyDescent="0.3">
      <c r="A144" s="1" t="s">
        <v>456</v>
      </c>
      <c r="B144">
        <v>143</v>
      </c>
      <c r="C144" s="1" t="s">
        <v>457</v>
      </c>
      <c r="D144" s="1" t="s">
        <v>13</v>
      </c>
      <c r="E144">
        <v>84914</v>
      </c>
      <c r="F144" s="1" t="s">
        <v>458</v>
      </c>
      <c r="G144" s="1" t="s">
        <v>27</v>
      </c>
      <c r="H144">
        <v>60795</v>
      </c>
      <c r="I144" s="1" t="s">
        <v>443</v>
      </c>
      <c r="J144" s="1" t="s">
        <v>444</v>
      </c>
      <c r="K144" s="1" t="s">
        <v>18</v>
      </c>
      <c r="L144" s="1" t="s">
        <v>1017</v>
      </c>
      <c r="M144" s="1" t="s">
        <v>27</v>
      </c>
      <c r="N144">
        <v>67965</v>
      </c>
      <c r="O144" s="1" t="s">
        <v>1018</v>
      </c>
      <c r="P144" s="1" t="s">
        <v>15</v>
      </c>
      <c r="Q144">
        <v>58056</v>
      </c>
      <c r="R144">
        <f>winners_21___26[[#This Row],[winners 2021.votes]]-winners_21___26[[#This Row],[runner up 2021.votes]]</f>
        <v>16949</v>
      </c>
      <c r="S144">
        <f>winners_21___26[[#This Row],[winners 2026.votes]]-winners_21___26[[#This Row],[runner up 2026.votes]]</f>
        <v>2739</v>
      </c>
      <c r="T144">
        <v>174754</v>
      </c>
      <c r="U144">
        <v>185213</v>
      </c>
      <c r="V144" s="2">
        <f>winners_21___26[[#This Row],[Margin votes 2021]]/winners_21___26[[#This Row],[Total votes 2021.Sum of votes]]</f>
        <v>9.6987765659155151E-2</v>
      </c>
      <c r="W144" s="3">
        <f>(winners_21___26[[#This Row],[Margin votes 2026]]/winners_21___26[[#This Row],[Total votes 2026.Sum of votes]])*100</f>
        <v>1.4788378785506417</v>
      </c>
      <c r="X144" t="str">
        <f>IF(winners_21___26[[#This Row],[winners 2021.party]]=winners_21___26[[#This Row],[winners 2026.party]],"Retained","Flipped")</f>
        <v>Flipped</v>
      </c>
    </row>
    <row r="145" spans="1:24" x14ac:dyDescent="0.3">
      <c r="A145" s="1" t="s">
        <v>459</v>
      </c>
      <c r="B145">
        <v>144</v>
      </c>
      <c r="C145" s="1" t="s">
        <v>460</v>
      </c>
      <c r="D145" s="1" t="s">
        <v>13</v>
      </c>
      <c r="E145">
        <v>116334</v>
      </c>
      <c r="F145" s="1" t="s">
        <v>461</v>
      </c>
      <c r="G145" s="1" t="s">
        <v>13</v>
      </c>
      <c r="H145">
        <v>81447</v>
      </c>
      <c r="I145" s="1" t="s">
        <v>443</v>
      </c>
      <c r="J145" s="1" t="s">
        <v>444</v>
      </c>
      <c r="K145" s="1" t="s">
        <v>18</v>
      </c>
      <c r="L145" s="1" t="s">
        <v>1019</v>
      </c>
      <c r="M145" s="1" t="s">
        <v>27</v>
      </c>
      <c r="N145">
        <v>56716</v>
      </c>
      <c r="O145" s="1" t="s">
        <v>1020</v>
      </c>
      <c r="P145" s="1" t="s">
        <v>15</v>
      </c>
      <c r="Q145">
        <v>69083</v>
      </c>
      <c r="R145">
        <f>winners_21___26[[#This Row],[winners 2021.votes]]-winners_21___26[[#This Row],[runner up 2021.votes]]</f>
        <v>59618</v>
      </c>
      <c r="S145">
        <f>winners_21___26[[#This Row],[winners 2026.votes]]-winners_21___26[[#This Row],[runner up 2026.votes]]</f>
        <v>12364</v>
      </c>
      <c r="T145">
        <v>196719</v>
      </c>
      <c r="U145">
        <v>209780</v>
      </c>
      <c r="V145" s="2">
        <f>winners_21___26[[#This Row],[Margin votes 2021]]/winners_21___26[[#This Row],[Total votes 2021.Sum of votes]]</f>
        <v>0.30306172764196648</v>
      </c>
      <c r="W145" s="3">
        <f>(winners_21___26[[#This Row],[Margin votes 2026]]/winners_21___26[[#This Row],[Total votes 2026.Sum of votes]])*100</f>
        <v>5.8937934979502336</v>
      </c>
      <c r="X145" t="str">
        <f>IF(winners_21___26[[#This Row],[winners 2021.party]]=winners_21___26[[#This Row],[winners 2026.party]],"Retained","Flipped")</f>
        <v>Retained</v>
      </c>
    </row>
    <row r="146" spans="1:24" x14ac:dyDescent="0.3">
      <c r="A146" s="1" t="s">
        <v>462</v>
      </c>
      <c r="B146">
        <v>145</v>
      </c>
      <c r="C146" s="1" t="s">
        <v>463</v>
      </c>
      <c r="D146" s="1" t="s">
        <v>13</v>
      </c>
      <c r="E146">
        <v>90624</v>
      </c>
      <c r="F146" s="1" t="s">
        <v>464</v>
      </c>
      <c r="G146" s="1" t="s">
        <v>15</v>
      </c>
      <c r="H146">
        <v>71281</v>
      </c>
      <c r="I146" s="1" t="s">
        <v>443</v>
      </c>
      <c r="J146" s="1" t="s">
        <v>444</v>
      </c>
      <c r="K146" s="1" t="s">
        <v>18</v>
      </c>
      <c r="L146" s="1" t="s">
        <v>1021</v>
      </c>
      <c r="M146" s="1" t="s">
        <v>27</v>
      </c>
      <c r="N146">
        <v>63788</v>
      </c>
      <c r="O146" s="1" t="s">
        <v>1022</v>
      </c>
      <c r="P146" s="1" t="s">
        <v>13</v>
      </c>
      <c r="Q146">
        <v>53839</v>
      </c>
      <c r="R146">
        <f>winners_21___26[[#This Row],[winners 2021.votes]]-winners_21___26[[#This Row],[runner up 2021.votes]]</f>
        <v>26836</v>
      </c>
      <c r="S146">
        <f>winners_21___26[[#This Row],[winners 2026.votes]]-winners_21___26[[#This Row],[runner up 2026.votes]]</f>
        <v>17442</v>
      </c>
      <c r="T146">
        <v>179706</v>
      </c>
      <c r="U146">
        <v>189141</v>
      </c>
      <c r="V146" s="2">
        <f>winners_21___26[[#This Row],[Margin votes 2021]]/winners_21___26[[#This Row],[Total votes 2021.Sum of votes]]</f>
        <v>0.14933279912746375</v>
      </c>
      <c r="W146" s="3">
        <f>(winners_21___26[[#This Row],[Margin votes 2026]]/winners_21___26[[#This Row],[Total votes 2026.Sum of votes]])*100</f>
        <v>9.2216917537709975</v>
      </c>
      <c r="X146" t="str">
        <f>IF(winners_21___26[[#This Row],[winners 2021.party]]=winners_21___26[[#This Row],[winners 2026.party]],"Retained","Flipped")</f>
        <v>Flipped</v>
      </c>
    </row>
    <row r="147" spans="1:24" x14ac:dyDescent="0.3">
      <c r="A147" s="1" t="s">
        <v>465</v>
      </c>
      <c r="B147">
        <v>146</v>
      </c>
      <c r="C147" s="1" t="s">
        <v>466</v>
      </c>
      <c r="D147" s="1" t="s">
        <v>13</v>
      </c>
      <c r="E147">
        <v>87786</v>
      </c>
      <c r="F147" s="1" t="s">
        <v>467</v>
      </c>
      <c r="G147" s="1" t="s">
        <v>15</v>
      </c>
      <c r="H147">
        <v>66263</v>
      </c>
      <c r="I147" s="1" t="s">
        <v>443</v>
      </c>
      <c r="J147" s="1" t="s">
        <v>444</v>
      </c>
      <c r="K147" s="1" t="s">
        <v>23</v>
      </c>
      <c r="L147" s="1" t="s">
        <v>1023</v>
      </c>
      <c r="M147" s="1" t="s">
        <v>27</v>
      </c>
      <c r="N147">
        <v>65715</v>
      </c>
      <c r="O147" s="1" t="s">
        <v>1024</v>
      </c>
      <c r="P147" s="1" t="s">
        <v>27</v>
      </c>
      <c r="Q147">
        <v>56649</v>
      </c>
      <c r="R147">
        <f>winners_21___26[[#This Row],[winners 2021.votes]]-winners_21___26[[#This Row],[runner up 2021.votes]]</f>
        <v>22071</v>
      </c>
      <c r="S147">
        <f>winners_21___26[[#This Row],[winners 2026.votes]]-winners_21___26[[#This Row],[runner up 2026.votes]]</f>
        <v>9614</v>
      </c>
      <c r="T147">
        <v>175876</v>
      </c>
      <c r="U147">
        <v>184426</v>
      </c>
      <c r="V147" s="2">
        <f>winners_21___26[[#This Row],[Margin votes 2021]]/winners_21___26[[#This Row],[Total votes 2021.Sum of votes]]</f>
        <v>0.12549182378493939</v>
      </c>
      <c r="W147" s="3">
        <f>(winners_21___26[[#This Row],[Margin votes 2026]]/winners_21___26[[#This Row],[Total votes 2026.Sum of votes]])*100</f>
        <v>5.2129309316473815</v>
      </c>
      <c r="X147" t="str">
        <f>IF(winners_21___26[[#This Row],[winners 2021.party]]=winners_21___26[[#This Row],[winners 2026.party]],"Retained","Flipped")</f>
        <v>Flipped</v>
      </c>
    </row>
    <row r="148" spans="1:24" x14ac:dyDescent="0.3">
      <c r="A148" s="1" t="s">
        <v>468</v>
      </c>
      <c r="B148">
        <v>147</v>
      </c>
      <c r="C148" s="1" t="s">
        <v>469</v>
      </c>
      <c r="D148" s="1" t="s">
        <v>13</v>
      </c>
      <c r="E148">
        <v>122090</v>
      </c>
      <c r="F148" s="1" t="s">
        <v>290</v>
      </c>
      <c r="G148" s="1" t="s">
        <v>15</v>
      </c>
      <c r="H148">
        <v>90882</v>
      </c>
      <c r="I148" s="1" t="s">
        <v>468</v>
      </c>
      <c r="J148" s="1" t="s">
        <v>236</v>
      </c>
      <c r="K148" s="1" t="s">
        <v>23</v>
      </c>
      <c r="L148" s="1" t="s">
        <v>1025</v>
      </c>
      <c r="M148" s="1" t="s">
        <v>27</v>
      </c>
      <c r="N148">
        <v>91056</v>
      </c>
      <c r="O148" s="1" t="s">
        <v>1026</v>
      </c>
      <c r="P148" s="1" t="s">
        <v>13</v>
      </c>
      <c r="Q148">
        <v>76489</v>
      </c>
      <c r="R148">
        <f>winners_21___26[[#This Row],[winners 2021.votes]]-winners_21___26[[#This Row],[runner up 2021.votes]]</f>
        <v>31034</v>
      </c>
      <c r="S148">
        <f>winners_21___26[[#This Row],[winners 2026.votes]]-winners_21___26[[#This Row],[runner up 2026.votes]]</f>
        <v>14393</v>
      </c>
      <c r="T148">
        <v>240026</v>
      </c>
      <c r="U148">
        <v>253654</v>
      </c>
      <c r="V148" s="2">
        <f>winners_21___26[[#This Row],[Margin votes 2021]]/winners_21___26[[#This Row],[Total votes 2021.Sum of votes]]</f>
        <v>0.12929432644796815</v>
      </c>
      <c r="W148" s="3">
        <f>(winners_21___26[[#This Row],[Margin votes 2026]]/winners_21___26[[#This Row],[Total votes 2026.Sum of votes]])*100</f>
        <v>5.6742649435845678</v>
      </c>
      <c r="X148" t="str">
        <f>IF(winners_21___26[[#This Row],[winners 2021.party]]=winners_21___26[[#This Row],[winners 2026.party]],"Retained","Flipped")</f>
        <v>Flipped</v>
      </c>
    </row>
    <row r="149" spans="1:24" x14ac:dyDescent="0.3">
      <c r="A149" s="1" t="s">
        <v>470</v>
      </c>
      <c r="B149">
        <v>148</v>
      </c>
      <c r="C149" s="1" t="s">
        <v>471</v>
      </c>
      <c r="D149" s="1" t="s">
        <v>13</v>
      </c>
      <c r="E149">
        <v>103922</v>
      </c>
      <c r="F149" s="1" t="s">
        <v>472</v>
      </c>
      <c r="G149" s="1" t="s">
        <v>13</v>
      </c>
      <c r="H149">
        <v>87237</v>
      </c>
      <c r="I149" s="1" t="s">
        <v>468</v>
      </c>
      <c r="J149" s="1" t="s">
        <v>236</v>
      </c>
      <c r="K149" s="1" t="s">
        <v>18</v>
      </c>
      <c r="L149" s="1" t="s">
        <v>1027</v>
      </c>
      <c r="M149" s="1" t="s">
        <v>27</v>
      </c>
      <c r="N149">
        <v>97593</v>
      </c>
      <c r="O149" s="1" t="s">
        <v>1028</v>
      </c>
      <c r="P149" s="1" t="s">
        <v>27</v>
      </c>
      <c r="Q149">
        <v>71680</v>
      </c>
      <c r="R149">
        <f>winners_21___26[[#This Row],[winners 2021.votes]]-winners_21___26[[#This Row],[runner up 2021.votes]]</f>
        <v>6329</v>
      </c>
      <c r="S149">
        <f>winners_21___26[[#This Row],[winners 2026.votes]]-winners_21___26[[#This Row],[runner up 2026.votes]]</f>
        <v>15557</v>
      </c>
      <c r="T149">
        <v>219879</v>
      </c>
      <c r="U149">
        <v>230570</v>
      </c>
      <c r="V149" s="2">
        <f>winners_21___26[[#This Row],[Margin votes 2021]]/winners_21___26[[#This Row],[Total votes 2021.Sum of votes]]</f>
        <v>2.8784013025345757E-2</v>
      </c>
      <c r="W149" s="3">
        <f>(winners_21___26[[#This Row],[Margin votes 2026]]/winners_21___26[[#This Row],[Total votes 2026.Sum of votes]])*100</f>
        <v>6.7471917422041034</v>
      </c>
      <c r="X149" t="str">
        <f>IF(winners_21___26[[#This Row],[winners 2021.party]]=winners_21___26[[#This Row],[winners 2026.party]],"Retained","Flipped")</f>
        <v>Retained</v>
      </c>
    </row>
    <row r="150" spans="1:24" x14ac:dyDescent="0.3">
      <c r="A150" s="1" t="s">
        <v>473</v>
      </c>
      <c r="B150">
        <v>149</v>
      </c>
      <c r="C150" s="1" t="s">
        <v>474</v>
      </c>
      <c r="D150" s="1" t="s">
        <v>13</v>
      </c>
      <c r="E150">
        <v>103975</v>
      </c>
      <c r="F150" s="1" t="s">
        <v>475</v>
      </c>
      <c r="G150" s="1" t="s">
        <v>27</v>
      </c>
      <c r="H150">
        <v>95219</v>
      </c>
      <c r="I150" s="1" t="s">
        <v>473</v>
      </c>
      <c r="J150" s="1" t="s">
        <v>236</v>
      </c>
      <c r="K150" s="1" t="s">
        <v>18</v>
      </c>
      <c r="L150" s="1" t="s">
        <v>475</v>
      </c>
      <c r="M150" s="1" t="s">
        <v>27</v>
      </c>
      <c r="N150">
        <v>100741</v>
      </c>
      <c r="O150" s="1" t="s">
        <v>1029</v>
      </c>
      <c r="P150" s="1" t="s">
        <v>13</v>
      </c>
      <c r="Q150">
        <v>70721</v>
      </c>
      <c r="R150">
        <f>winners_21___26[[#This Row],[winners 2021.votes]]-winners_21___26[[#This Row],[runner up 2021.votes]]</f>
        <v>3234</v>
      </c>
      <c r="S150">
        <f>winners_21___26[[#This Row],[winners 2026.votes]]-winners_21___26[[#This Row],[runner up 2026.votes]]</f>
        <v>24498</v>
      </c>
      <c r="T150">
        <v>225225</v>
      </c>
      <c r="U150">
        <v>235858</v>
      </c>
      <c r="V150" s="2">
        <f>winners_21___26[[#This Row],[Margin votes 2021]]/winners_21___26[[#This Row],[Total votes 2021.Sum of votes]]</f>
        <v>1.4358974358974359E-2</v>
      </c>
      <c r="W150" s="3">
        <f>(winners_21___26[[#This Row],[Margin votes 2026]]/winners_21___26[[#This Row],[Total votes 2026.Sum of votes]])*100</f>
        <v>10.386758134131552</v>
      </c>
      <c r="X150" t="str">
        <f>IF(winners_21___26[[#This Row],[winners 2021.party]]=winners_21___26[[#This Row],[winners 2026.party]],"Retained","Flipped")</f>
        <v>Flipped</v>
      </c>
    </row>
    <row r="151" spans="1:24" x14ac:dyDescent="0.3">
      <c r="A151" s="1" t="s">
        <v>476</v>
      </c>
      <c r="B151">
        <v>150</v>
      </c>
      <c r="C151" s="1" t="s">
        <v>477</v>
      </c>
      <c r="D151" s="1" t="s">
        <v>13</v>
      </c>
      <c r="E151">
        <v>99529</v>
      </c>
      <c r="F151" s="1" t="s">
        <v>478</v>
      </c>
      <c r="G151" s="1" t="s">
        <v>198</v>
      </c>
      <c r="H151">
        <v>88992</v>
      </c>
      <c r="I151" s="1" t="s">
        <v>473</v>
      </c>
      <c r="J151" s="1" t="s">
        <v>236</v>
      </c>
      <c r="K151" s="1" t="s">
        <v>18</v>
      </c>
      <c r="L151" s="1" t="s">
        <v>1030</v>
      </c>
      <c r="M151" s="1" t="s">
        <v>198</v>
      </c>
      <c r="N151">
        <v>94077</v>
      </c>
      <c r="O151" s="1" t="s">
        <v>1031</v>
      </c>
      <c r="P151" s="1" t="s">
        <v>13</v>
      </c>
      <c r="Q151">
        <v>70502</v>
      </c>
      <c r="R151">
        <f>winners_21___26[[#This Row],[winners 2021.votes]]-winners_21___26[[#This Row],[runner up 2021.votes]]</f>
        <v>5452</v>
      </c>
      <c r="S151">
        <f>winners_21___26[[#This Row],[winners 2026.votes]]-winners_21___26[[#This Row],[runner up 2026.votes]]</f>
        <v>18490</v>
      </c>
      <c r="T151">
        <v>216368</v>
      </c>
      <c r="U151">
        <v>228548</v>
      </c>
      <c r="V151" s="2">
        <f>winners_21___26[[#This Row],[Margin votes 2021]]/winners_21___26[[#This Row],[Total votes 2021.Sum of votes]]</f>
        <v>2.5197811136582118E-2</v>
      </c>
      <c r="W151" s="3">
        <f>(winners_21___26[[#This Row],[Margin votes 2026]]/winners_21___26[[#This Row],[Total votes 2026.Sum of votes]])*100</f>
        <v>8.0902042459352081</v>
      </c>
      <c r="X151" t="str">
        <f>IF(winners_21___26[[#This Row],[winners 2021.party]]=winners_21___26[[#This Row],[winners 2026.party]],"Retained","Flipped")</f>
        <v>Flipped</v>
      </c>
    </row>
    <row r="152" spans="1:24" x14ac:dyDescent="0.3">
      <c r="A152" s="1" t="s">
        <v>479</v>
      </c>
      <c r="B152">
        <v>151</v>
      </c>
      <c r="C152" s="1" t="s">
        <v>480</v>
      </c>
      <c r="D152" s="1" t="s">
        <v>13</v>
      </c>
      <c r="E152">
        <v>83726</v>
      </c>
      <c r="F152" s="1" t="s">
        <v>481</v>
      </c>
      <c r="G152" s="1" t="s">
        <v>13</v>
      </c>
      <c r="H152">
        <v>63106</v>
      </c>
      <c r="I152" s="1" t="s">
        <v>482</v>
      </c>
      <c r="J152" s="1" t="s">
        <v>236</v>
      </c>
      <c r="K152" s="1" t="s">
        <v>23</v>
      </c>
      <c r="L152" s="1" t="s">
        <v>1032</v>
      </c>
      <c r="M152" s="1" t="s">
        <v>324</v>
      </c>
      <c r="N152">
        <v>62163</v>
      </c>
      <c r="O152" s="1" t="s">
        <v>1033</v>
      </c>
      <c r="P152" s="1" t="s">
        <v>15</v>
      </c>
      <c r="Q152">
        <v>60477</v>
      </c>
      <c r="R152">
        <f>winners_21___26[[#This Row],[winners 2021.votes]]-winners_21___26[[#This Row],[runner up 2021.votes]]</f>
        <v>21563</v>
      </c>
      <c r="S152">
        <f>winners_21___26[[#This Row],[winners 2026.votes]]-winners_21___26[[#This Row],[runner up 2026.votes]]</f>
        <v>2629</v>
      </c>
      <c r="T152">
        <v>168184</v>
      </c>
      <c r="U152">
        <v>175754</v>
      </c>
      <c r="V152" s="2">
        <f>winners_21___26[[#This Row],[Margin votes 2021]]/winners_21___26[[#This Row],[Total votes 2021.Sum of votes]]</f>
        <v>0.1282107691575893</v>
      </c>
      <c r="W152" s="3">
        <f>(winners_21___26[[#This Row],[Margin votes 2026]]/winners_21___26[[#This Row],[Total votes 2026.Sum of votes]])*100</f>
        <v>1.4958407774502998</v>
      </c>
      <c r="X152" t="str">
        <f>IF(winners_21___26[[#This Row],[winners 2021.party]]=winners_21___26[[#This Row],[winners 2026.party]],"Retained","Flipped")</f>
        <v>Retained</v>
      </c>
    </row>
    <row r="153" spans="1:24" x14ac:dyDescent="0.3">
      <c r="A153" s="1" t="s">
        <v>483</v>
      </c>
      <c r="B153">
        <v>152</v>
      </c>
      <c r="C153" s="1" t="s">
        <v>484</v>
      </c>
      <c r="D153" s="1" t="s">
        <v>21</v>
      </c>
      <c r="E153">
        <v>77064</v>
      </c>
      <c r="F153" s="1" t="s">
        <v>485</v>
      </c>
      <c r="G153" s="1" t="s">
        <v>486</v>
      </c>
      <c r="H153">
        <v>69351</v>
      </c>
      <c r="I153" s="1" t="s">
        <v>482</v>
      </c>
      <c r="J153" s="1" t="s">
        <v>236</v>
      </c>
      <c r="K153" s="1" t="s">
        <v>18</v>
      </c>
      <c r="L153" s="1" t="s">
        <v>1034</v>
      </c>
      <c r="M153" s="1" t="s">
        <v>198</v>
      </c>
      <c r="N153">
        <v>76202</v>
      </c>
      <c r="O153" s="1" t="s">
        <v>1035</v>
      </c>
      <c r="P153" s="1" t="s">
        <v>15</v>
      </c>
      <c r="Q153">
        <v>66964</v>
      </c>
      <c r="R153">
        <f>winners_21___26[[#This Row],[winners 2021.votes]]-winners_21___26[[#This Row],[runner up 2021.votes]]</f>
        <v>862</v>
      </c>
      <c r="S153">
        <f>winners_21___26[[#This Row],[winners 2026.votes]]-winners_21___26[[#This Row],[runner up 2026.votes]]</f>
        <v>2387</v>
      </c>
      <c r="T153">
        <v>196734</v>
      </c>
      <c r="U153">
        <v>209186</v>
      </c>
      <c r="V153" s="2">
        <f>winners_21___26[[#This Row],[Margin votes 2021]]/winners_21___26[[#This Row],[Total votes 2021.Sum of votes]]</f>
        <v>4.3815507233116793E-3</v>
      </c>
      <c r="W153" s="3">
        <f>(winners_21___26[[#This Row],[Margin votes 2026]]/winners_21___26[[#This Row],[Total votes 2026.Sum of votes]])*100</f>
        <v>1.1410897478798774</v>
      </c>
      <c r="X153" t="str">
        <f>IF(winners_21___26[[#This Row],[winners 2021.party]]=winners_21___26[[#This Row],[winners 2026.party]],"Retained","Flipped")</f>
        <v>Flipped</v>
      </c>
    </row>
    <row r="154" spans="1:24" x14ac:dyDescent="0.3">
      <c r="A154" s="1" t="s">
        <v>487</v>
      </c>
      <c r="B154">
        <v>153</v>
      </c>
      <c r="C154" s="1" t="s">
        <v>488</v>
      </c>
      <c r="D154" s="1" t="s">
        <v>13</v>
      </c>
      <c r="E154">
        <v>75177</v>
      </c>
      <c r="F154" s="1" t="s">
        <v>489</v>
      </c>
      <c r="G154" s="1" t="s">
        <v>27</v>
      </c>
      <c r="H154">
        <v>63731</v>
      </c>
      <c r="I154" s="1" t="s">
        <v>482</v>
      </c>
      <c r="J154" s="1" t="s">
        <v>236</v>
      </c>
      <c r="K154" s="1" t="s">
        <v>18</v>
      </c>
      <c r="L154" s="1" t="s">
        <v>1036</v>
      </c>
      <c r="M154" s="1" t="s">
        <v>198</v>
      </c>
      <c r="N154">
        <v>74200</v>
      </c>
      <c r="O154" s="1" t="s">
        <v>488</v>
      </c>
      <c r="P154" s="1" t="s">
        <v>13</v>
      </c>
      <c r="Q154">
        <v>52769</v>
      </c>
      <c r="R154">
        <f>winners_21___26[[#This Row],[winners 2021.votes]]-winners_21___26[[#This Row],[runner up 2021.votes]]</f>
        <v>977</v>
      </c>
      <c r="S154">
        <f>winners_21___26[[#This Row],[winners 2026.votes]]-winners_21___26[[#This Row],[runner up 2026.votes]]</f>
        <v>10962</v>
      </c>
      <c r="T154">
        <v>164130</v>
      </c>
      <c r="U154">
        <v>168780</v>
      </c>
      <c r="V154" s="2">
        <f>winners_21___26[[#This Row],[Margin votes 2021]]/winners_21___26[[#This Row],[Total votes 2021.Sum of votes]]</f>
        <v>5.952598549929934E-3</v>
      </c>
      <c r="W154" s="3">
        <f>(winners_21___26[[#This Row],[Margin votes 2026]]/winners_21___26[[#This Row],[Total votes 2026.Sum of votes]])*100</f>
        <v>6.4948453608247432</v>
      </c>
      <c r="X154" t="str">
        <f>IF(winners_21___26[[#This Row],[winners 2021.party]]=winners_21___26[[#This Row],[winners 2026.party]],"Retained","Flipped")</f>
        <v>Flipped</v>
      </c>
    </row>
    <row r="155" spans="1:24" x14ac:dyDescent="0.3">
      <c r="A155" s="1" t="s">
        <v>490</v>
      </c>
      <c r="B155">
        <v>154</v>
      </c>
      <c r="C155" s="1" t="s">
        <v>491</v>
      </c>
      <c r="D155" s="1" t="s">
        <v>13</v>
      </c>
      <c r="E155">
        <v>93801</v>
      </c>
      <c r="F155" s="1" t="s">
        <v>492</v>
      </c>
      <c r="G155" s="1" t="s">
        <v>27</v>
      </c>
      <c r="H155">
        <v>78398</v>
      </c>
      <c r="I155" s="1" t="s">
        <v>482</v>
      </c>
      <c r="J155" s="1" t="s">
        <v>236</v>
      </c>
      <c r="K155" s="1" t="s">
        <v>18</v>
      </c>
      <c r="L155" s="1" t="s">
        <v>489</v>
      </c>
      <c r="M155" s="1" t="s">
        <v>27</v>
      </c>
      <c r="N155">
        <v>89104</v>
      </c>
      <c r="O155" s="1" t="s">
        <v>1037</v>
      </c>
      <c r="P155" s="1" t="s">
        <v>118</v>
      </c>
      <c r="Q155">
        <v>67735</v>
      </c>
      <c r="R155">
        <f>winners_21___26[[#This Row],[winners 2021.votes]]-winners_21___26[[#This Row],[runner up 2021.votes]]</f>
        <v>4697</v>
      </c>
      <c r="S155">
        <f>winners_21___26[[#This Row],[winners 2026.votes]]-winners_21___26[[#This Row],[runner up 2026.votes]]</f>
        <v>10663</v>
      </c>
      <c r="T155">
        <v>197049</v>
      </c>
      <c r="U155">
        <v>210767</v>
      </c>
      <c r="V155" s="2">
        <f>winners_21___26[[#This Row],[Margin votes 2021]]/winners_21___26[[#This Row],[Total votes 2021.Sum of votes]]</f>
        <v>2.3836710665874984E-2</v>
      </c>
      <c r="W155" s="3">
        <f>(winners_21___26[[#This Row],[Margin votes 2026]]/winners_21___26[[#This Row],[Total votes 2026.Sum of votes]])*100</f>
        <v>5.0591411368952448</v>
      </c>
      <c r="X155" t="str">
        <f>IF(winners_21___26[[#This Row],[winners 2021.party]]=winners_21___26[[#This Row],[winners 2026.party]],"Retained","Flipped")</f>
        <v>Flipped</v>
      </c>
    </row>
    <row r="156" spans="1:24" x14ac:dyDescent="0.3">
      <c r="A156" s="1" t="s">
        <v>482</v>
      </c>
      <c r="B156">
        <v>155</v>
      </c>
      <c r="C156" s="1" t="s">
        <v>493</v>
      </c>
      <c r="D156" s="1" t="s">
        <v>13</v>
      </c>
      <c r="E156">
        <v>84563</v>
      </c>
      <c r="F156" s="1" t="s">
        <v>494</v>
      </c>
      <c r="G156" s="1" t="s">
        <v>15</v>
      </c>
      <c r="H156">
        <v>70856</v>
      </c>
      <c r="I156" s="1" t="s">
        <v>482</v>
      </c>
      <c r="J156" s="1" t="s">
        <v>236</v>
      </c>
      <c r="K156" s="1" t="s">
        <v>18</v>
      </c>
      <c r="L156" s="1" t="s">
        <v>1038</v>
      </c>
      <c r="M156" s="1" t="s">
        <v>27</v>
      </c>
      <c r="N156">
        <v>79412</v>
      </c>
      <c r="O156" s="1" t="s">
        <v>1039</v>
      </c>
      <c r="P156" s="1" t="s">
        <v>21</v>
      </c>
      <c r="Q156">
        <v>55337</v>
      </c>
      <c r="R156">
        <f>winners_21___26[[#This Row],[winners 2021.votes]]-winners_21___26[[#This Row],[runner up 2021.votes]]</f>
        <v>5151</v>
      </c>
      <c r="S156">
        <f>winners_21___26[[#This Row],[winners 2026.votes]]-winners_21___26[[#This Row],[runner up 2026.votes]]</f>
        <v>15519</v>
      </c>
      <c r="T156">
        <v>182001</v>
      </c>
      <c r="U156">
        <v>190378</v>
      </c>
      <c r="V156" s="2">
        <f>winners_21___26[[#This Row],[Margin votes 2021]]/winners_21___26[[#This Row],[Total votes 2021.Sum of votes]]</f>
        <v>2.8302042296470899E-2</v>
      </c>
      <c r="W156" s="3">
        <f>(winners_21___26[[#This Row],[Margin votes 2026]]/winners_21___26[[#This Row],[Total votes 2026.Sum of votes]])*100</f>
        <v>8.1516771895912346</v>
      </c>
      <c r="X156" t="str">
        <f>IF(winners_21___26[[#This Row],[winners 2021.party]]=winners_21___26[[#This Row],[winners 2026.party]],"Retained","Flipped")</f>
        <v>Flipped</v>
      </c>
    </row>
    <row r="157" spans="1:24" x14ac:dyDescent="0.3">
      <c r="A157" s="1" t="s">
        <v>495</v>
      </c>
      <c r="B157">
        <v>156</v>
      </c>
      <c r="C157" s="1" t="s">
        <v>496</v>
      </c>
      <c r="D157" s="1" t="s">
        <v>13</v>
      </c>
      <c r="E157">
        <v>101456</v>
      </c>
      <c r="F157" s="1" t="s">
        <v>496</v>
      </c>
      <c r="G157" s="1" t="s">
        <v>13</v>
      </c>
      <c r="H157">
        <v>76695</v>
      </c>
      <c r="I157" s="1" t="s">
        <v>482</v>
      </c>
      <c r="J157" s="1" t="s">
        <v>236</v>
      </c>
      <c r="K157" s="1" t="s">
        <v>18</v>
      </c>
      <c r="L157" s="1" t="s">
        <v>1040</v>
      </c>
      <c r="M157" s="1" t="s">
        <v>27</v>
      </c>
      <c r="N157">
        <v>83929</v>
      </c>
      <c r="O157" s="1" t="s">
        <v>1041</v>
      </c>
      <c r="P157" s="1" t="s">
        <v>27</v>
      </c>
      <c r="Q157">
        <v>69106</v>
      </c>
      <c r="R157">
        <f>winners_21___26[[#This Row],[winners 2021.votes]]-winners_21___26[[#This Row],[runner up 2021.votes]]</f>
        <v>17527</v>
      </c>
      <c r="S157">
        <f>winners_21___26[[#This Row],[winners 2026.votes]]-winners_21___26[[#This Row],[runner up 2026.votes]]</f>
        <v>7589</v>
      </c>
      <c r="T157">
        <v>198781</v>
      </c>
      <c r="U157">
        <v>213965</v>
      </c>
      <c r="V157" s="2">
        <f>winners_21___26[[#This Row],[Margin votes 2021]]/winners_21___26[[#This Row],[Total votes 2021.Sum of votes]]</f>
        <v>8.8172410844094759E-2</v>
      </c>
      <c r="W157" s="3">
        <f>(winners_21___26[[#This Row],[Margin votes 2026]]/winners_21___26[[#This Row],[Total votes 2026.Sum of votes]])*100</f>
        <v>3.5468417731872037</v>
      </c>
      <c r="X157" t="str">
        <f>IF(winners_21___26[[#This Row],[winners 2021.party]]=winners_21___26[[#This Row],[winners 2026.party]],"Retained","Flipped")</f>
        <v>Retained</v>
      </c>
    </row>
    <row r="158" spans="1:24" x14ac:dyDescent="0.3">
      <c r="A158" s="1" t="s">
        <v>497</v>
      </c>
      <c r="B158">
        <v>157</v>
      </c>
      <c r="C158" s="1" t="s">
        <v>498</v>
      </c>
      <c r="D158" s="1" t="s">
        <v>27</v>
      </c>
      <c r="E158">
        <v>96453</v>
      </c>
      <c r="F158" s="1" t="s">
        <v>499</v>
      </c>
      <c r="G158" s="1" t="s">
        <v>27</v>
      </c>
      <c r="H158">
        <v>75707</v>
      </c>
      <c r="I158" s="1" t="s">
        <v>482</v>
      </c>
      <c r="J158" s="1" t="s">
        <v>236</v>
      </c>
      <c r="K158" s="1" t="s">
        <v>18</v>
      </c>
      <c r="L158" s="1" t="s">
        <v>1042</v>
      </c>
      <c r="M158" s="1" t="s">
        <v>13</v>
      </c>
      <c r="N158">
        <v>88194</v>
      </c>
      <c r="O158" s="1" t="s">
        <v>1043</v>
      </c>
      <c r="P158" s="1" t="s">
        <v>13</v>
      </c>
      <c r="Q158">
        <v>73220</v>
      </c>
      <c r="R158">
        <f>winners_21___26[[#This Row],[winners 2021.votes]]-winners_21___26[[#This Row],[runner up 2021.votes]]</f>
        <v>8259</v>
      </c>
      <c r="S158">
        <f>winners_21___26[[#This Row],[winners 2026.votes]]-winners_21___26[[#This Row],[runner up 2026.votes]]</f>
        <v>2487</v>
      </c>
      <c r="T158">
        <v>197165</v>
      </c>
      <c r="U158">
        <v>207310</v>
      </c>
      <c r="V158" s="2">
        <f>winners_21___26[[#This Row],[Margin votes 2021]]/winners_21___26[[#This Row],[Total votes 2021.Sum of votes]]</f>
        <v>4.1888773362412195E-2</v>
      </c>
      <c r="W158" s="3">
        <f>(winners_21___26[[#This Row],[Margin votes 2026]]/winners_21___26[[#This Row],[Total votes 2026.Sum of votes]])*100</f>
        <v>1.1996526940330905</v>
      </c>
      <c r="X158" t="str">
        <f>IF(winners_21___26[[#This Row],[winners 2021.party]]=winners_21___26[[#This Row],[winners 2026.party]],"Retained","Flipped")</f>
        <v>Retained</v>
      </c>
    </row>
    <row r="159" spans="1:24" x14ac:dyDescent="0.3">
      <c r="A159" s="1" t="s">
        <v>500</v>
      </c>
      <c r="B159">
        <v>158</v>
      </c>
      <c r="C159" s="1" t="s">
        <v>501</v>
      </c>
      <c r="D159" s="1" t="s">
        <v>27</v>
      </c>
      <c r="E159">
        <v>91961</v>
      </c>
      <c r="F159" s="1" t="s">
        <v>502</v>
      </c>
      <c r="G159" s="1" t="s">
        <v>13</v>
      </c>
      <c r="H159">
        <v>69739</v>
      </c>
      <c r="I159" s="1" t="s">
        <v>482</v>
      </c>
      <c r="J159" s="1" t="s">
        <v>236</v>
      </c>
      <c r="K159" s="1" t="s">
        <v>18</v>
      </c>
      <c r="L159" s="1" t="s">
        <v>1044</v>
      </c>
      <c r="M159" s="1" t="s">
        <v>163</v>
      </c>
      <c r="N159">
        <v>75024</v>
      </c>
      <c r="O159" s="1" t="s">
        <v>1045</v>
      </c>
      <c r="P159" s="1" t="s">
        <v>27</v>
      </c>
      <c r="Q159">
        <v>63992</v>
      </c>
      <c r="R159">
        <f>winners_21___26[[#This Row],[winners 2021.votes]]-winners_21___26[[#This Row],[runner up 2021.votes]]</f>
        <v>16937</v>
      </c>
      <c r="S159">
        <f>winners_21___26[[#This Row],[winners 2026.votes]]-winners_21___26[[#This Row],[runner up 2026.votes]]</f>
        <v>5747</v>
      </c>
      <c r="T159">
        <v>183352</v>
      </c>
      <c r="U159">
        <v>196586</v>
      </c>
      <c r="V159" s="2">
        <f>winners_21___26[[#This Row],[Margin votes 2021]]/winners_21___26[[#This Row],[Total votes 2021.Sum of votes]]</f>
        <v>9.2374230987390379E-2</v>
      </c>
      <c r="W159" s="3">
        <f>(winners_21___26[[#This Row],[Margin votes 2026]]/winners_21___26[[#This Row],[Total votes 2026.Sum of votes]])*100</f>
        <v>2.9234024803393934</v>
      </c>
      <c r="X159" t="str">
        <f>IF(winners_21___26[[#This Row],[winners 2021.party]]=winners_21___26[[#This Row],[winners 2026.party]],"Retained","Flipped")</f>
        <v>Flipped</v>
      </c>
    </row>
    <row r="160" spans="1:24" x14ac:dyDescent="0.3">
      <c r="A160" s="1" t="s">
        <v>503</v>
      </c>
      <c r="B160">
        <v>159</v>
      </c>
      <c r="C160" s="1" t="s">
        <v>504</v>
      </c>
      <c r="D160" s="1" t="s">
        <v>118</v>
      </c>
      <c r="E160">
        <v>86056</v>
      </c>
      <c r="F160" s="1" t="s">
        <v>505</v>
      </c>
      <c r="G160" s="1" t="s">
        <v>118</v>
      </c>
      <c r="H160">
        <v>85179</v>
      </c>
      <c r="I160" s="1" t="s">
        <v>482</v>
      </c>
      <c r="J160" s="1" t="s">
        <v>236</v>
      </c>
      <c r="K160" s="1" t="s">
        <v>23</v>
      </c>
      <c r="L160" s="1" t="s">
        <v>1046</v>
      </c>
      <c r="M160" s="1" t="s">
        <v>27</v>
      </c>
      <c r="N160">
        <v>75491</v>
      </c>
      <c r="O160" s="1" t="s">
        <v>1047</v>
      </c>
      <c r="P160" s="1" t="s">
        <v>198</v>
      </c>
      <c r="Q160">
        <v>52116</v>
      </c>
      <c r="R160">
        <f>winners_21___26[[#This Row],[winners 2021.votes]]-winners_21___26[[#This Row],[runner up 2021.votes]]</f>
        <v>10565</v>
      </c>
      <c r="S160">
        <f>winners_21___26[[#This Row],[winners 2026.votes]]-winners_21___26[[#This Row],[runner up 2026.votes]]</f>
        <v>33063</v>
      </c>
      <c r="T160">
        <v>175561</v>
      </c>
      <c r="U160">
        <v>187905</v>
      </c>
      <c r="V160" s="2">
        <f>winners_21___26[[#This Row],[Margin votes 2021]]/winners_21___26[[#This Row],[Total votes 2021.Sum of votes]]</f>
        <v>6.0178513451165122E-2</v>
      </c>
      <c r="W160" s="3">
        <f>(winners_21___26[[#This Row],[Margin votes 2026]]/winners_21___26[[#This Row],[Total votes 2026.Sum of votes]])*100</f>
        <v>17.595593518001117</v>
      </c>
      <c r="X160" t="str">
        <f>IF(winners_21___26[[#This Row],[winners 2021.party]]=winners_21___26[[#This Row],[winners 2026.party]],"Retained","Flipped")</f>
        <v>Retained</v>
      </c>
    </row>
    <row r="161" spans="1:24" x14ac:dyDescent="0.3">
      <c r="A161" s="1" t="s">
        <v>506</v>
      </c>
      <c r="B161">
        <v>160</v>
      </c>
      <c r="C161" s="1" t="s">
        <v>507</v>
      </c>
      <c r="D161" s="1" t="s">
        <v>13</v>
      </c>
      <c r="E161">
        <v>94057</v>
      </c>
      <c r="F161" s="1" t="s">
        <v>508</v>
      </c>
      <c r="G161" s="1" t="s">
        <v>13</v>
      </c>
      <c r="H161">
        <v>71449</v>
      </c>
      <c r="I161" s="1" t="s">
        <v>509</v>
      </c>
      <c r="J161" s="1" t="s">
        <v>444</v>
      </c>
      <c r="K161" s="1" t="s">
        <v>23</v>
      </c>
      <c r="L161" s="1" t="s">
        <v>1048</v>
      </c>
      <c r="M161" s="1" t="s">
        <v>27</v>
      </c>
      <c r="N161">
        <v>81909</v>
      </c>
      <c r="O161" s="1" t="s">
        <v>1049</v>
      </c>
      <c r="P161" s="1" t="s">
        <v>27</v>
      </c>
      <c r="Q161">
        <v>60032</v>
      </c>
      <c r="R161">
        <f>winners_21___26[[#This Row],[winners 2021.votes]]-winners_21___26[[#This Row],[runner up 2021.votes]]</f>
        <v>12148</v>
      </c>
      <c r="S161">
        <f>winners_21___26[[#This Row],[winners 2026.votes]]-winners_21___26[[#This Row],[runner up 2026.votes]]</f>
        <v>11417</v>
      </c>
      <c r="T161">
        <v>191325</v>
      </c>
      <c r="U161">
        <v>200448</v>
      </c>
      <c r="V161" s="2">
        <f>winners_21___26[[#This Row],[Margin votes 2021]]/winners_21___26[[#This Row],[Total votes 2021.Sum of votes]]</f>
        <v>6.3494054619103624E-2</v>
      </c>
      <c r="W161" s="3">
        <f>(winners_21___26[[#This Row],[Margin votes 2026]]/winners_21___26[[#This Row],[Total votes 2026.Sum of votes]])*100</f>
        <v>5.6957415389527455</v>
      </c>
      <c r="X161" t="str">
        <f>IF(winners_21___26[[#This Row],[winners 2021.party]]=winners_21___26[[#This Row],[winners 2026.party]],"Retained","Flipped")</f>
        <v>Retained</v>
      </c>
    </row>
    <row r="162" spans="1:24" x14ac:dyDescent="0.3">
      <c r="A162" s="1" t="s">
        <v>510</v>
      </c>
      <c r="B162">
        <v>161</v>
      </c>
      <c r="C162" s="1" t="s">
        <v>511</v>
      </c>
      <c r="D162" s="1" t="s">
        <v>21</v>
      </c>
      <c r="E162">
        <v>73642</v>
      </c>
      <c r="F162" s="1" t="s">
        <v>512</v>
      </c>
      <c r="G162" s="1" t="s">
        <v>21</v>
      </c>
      <c r="H162">
        <v>68011</v>
      </c>
      <c r="I162" s="1" t="s">
        <v>509</v>
      </c>
      <c r="J162" s="1" t="s">
        <v>444</v>
      </c>
      <c r="K162" s="1" t="s">
        <v>18</v>
      </c>
      <c r="L162" s="1" t="s">
        <v>1050</v>
      </c>
      <c r="M162" s="1" t="s">
        <v>198</v>
      </c>
      <c r="N162">
        <v>70900</v>
      </c>
      <c r="O162" s="1" t="s">
        <v>1051</v>
      </c>
      <c r="P162" s="1" t="s">
        <v>198</v>
      </c>
      <c r="Q162">
        <v>57166</v>
      </c>
      <c r="R162">
        <f>winners_21___26[[#This Row],[winners 2021.votes]]-winners_21___26[[#This Row],[runner up 2021.votes]]</f>
        <v>2742</v>
      </c>
      <c r="S162">
        <f>winners_21___26[[#This Row],[winners 2026.votes]]-winners_21___26[[#This Row],[runner up 2026.votes]]</f>
        <v>10845</v>
      </c>
      <c r="T162">
        <v>174640</v>
      </c>
      <c r="U162">
        <v>188461</v>
      </c>
      <c r="V162" s="2">
        <f>winners_21___26[[#This Row],[Margin votes 2021]]/winners_21___26[[#This Row],[Total votes 2021.Sum of votes]]</f>
        <v>1.5700870361887311E-2</v>
      </c>
      <c r="W162" s="3">
        <f>(winners_21___26[[#This Row],[Margin votes 2026]]/winners_21___26[[#This Row],[Total votes 2026.Sum of votes]])*100</f>
        <v>5.75450623736476</v>
      </c>
      <c r="X162" t="str">
        <f>IF(winners_21___26[[#This Row],[winners 2021.party]]=winners_21___26[[#This Row],[winners 2026.party]],"Retained","Flipped")</f>
        <v>Retained</v>
      </c>
    </row>
    <row r="163" spans="1:24" x14ac:dyDescent="0.3">
      <c r="A163" s="1" t="s">
        <v>513</v>
      </c>
      <c r="B163">
        <v>162</v>
      </c>
      <c r="C163" s="1" t="s">
        <v>514</v>
      </c>
      <c r="D163" s="1" t="s">
        <v>13</v>
      </c>
      <c r="E163">
        <v>96102</v>
      </c>
      <c r="F163" s="1" t="s">
        <v>515</v>
      </c>
      <c r="G163" s="1" t="s">
        <v>13</v>
      </c>
      <c r="H163">
        <v>81096</v>
      </c>
      <c r="I163" s="1" t="s">
        <v>509</v>
      </c>
      <c r="J163" s="1" t="s">
        <v>444</v>
      </c>
      <c r="K163" s="1" t="s">
        <v>18</v>
      </c>
      <c r="L163" s="1" t="s">
        <v>1052</v>
      </c>
      <c r="M163" s="1" t="s">
        <v>27</v>
      </c>
      <c r="N163">
        <v>92803</v>
      </c>
      <c r="O163" s="1" t="s">
        <v>1053</v>
      </c>
      <c r="P163" s="1" t="s">
        <v>27</v>
      </c>
      <c r="Q163">
        <v>72836</v>
      </c>
      <c r="R163">
        <f>winners_21___26[[#This Row],[winners 2021.votes]]-winners_21___26[[#This Row],[runner up 2021.votes]]</f>
        <v>3299</v>
      </c>
      <c r="S163">
        <f>winners_21___26[[#This Row],[winners 2026.votes]]-winners_21___26[[#This Row],[runner up 2026.votes]]</f>
        <v>8260</v>
      </c>
      <c r="T163">
        <v>207838</v>
      </c>
      <c r="U163">
        <v>219324</v>
      </c>
      <c r="V163" s="2">
        <f>winners_21___26[[#This Row],[Margin votes 2021]]/winners_21___26[[#This Row],[Total votes 2021.Sum of votes]]</f>
        <v>1.5872939500957476E-2</v>
      </c>
      <c r="W163" s="3">
        <f>(winners_21___26[[#This Row],[Margin votes 2026]]/winners_21___26[[#This Row],[Total votes 2026.Sum of votes]])*100</f>
        <v>3.7661177071364738</v>
      </c>
      <c r="X163" t="str">
        <f>IF(winners_21___26[[#This Row],[winners 2021.party]]=winners_21___26[[#This Row],[winners 2026.party]],"Retained","Flipped")</f>
        <v>Retained</v>
      </c>
    </row>
    <row r="164" spans="1:24" x14ac:dyDescent="0.3">
      <c r="A164" s="1" t="s">
        <v>509</v>
      </c>
      <c r="B164">
        <v>163</v>
      </c>
      <c r="C164" s="1" t="s">
        <v>516</v>
      </c>
      <c r="D164" s="1" t="s">
        <v>118</v>
      </c>
      <c r="E164">
        <v>66281</v>
      </c>
      <c r="F164" s="1" t="s">
        <v>517</v>
      </c>
      <c r="G164" s="1" t="s">
        <v>13</v>
      </c>
      <c r="H164">
        <v>56305</v>
      </c>
      <c r="I164" s="1" t="s">
        <v>509</v>
      </c>
      <c r="J164" s="1" t="s">
        <v>444</v>
      </c>
      <c r="K164" s="1" t="s">
        <v>18</v>
      </c>
      <c r="L164" s="1" t="s">
        <v>1054</v>
      </c>
      <c r="M164" s="1" t="s">
        <v>27</v>
      </c>
      <c r="N164">
        <v>59043</v>
      </c>
      <c r="O164" s="1" t="s">
        <v>1055</v>
      </c>
      <c r="P164" s="1" t="s">
        <v>15</v>
      </c>
      <c r="Q164">
        <v>46524</v>
      </c>
      <c r="R164">
        <f>winners_21___26[[#This Row],[winners 2021.votes]]-winners_21___26[[#This Row],[runner up 2021.votes]]</f>
        <v>7238</v>
      </c>
      <c r="S164">
        <f>winners_21___26[[#This Row],[winners 2026.votes]]-winners_21___26[[#This Row],[runner up 2026.votes]]</f>
        <v>9781</v>
      </c>
      <c r="T164">
        <v>143560</v>
      </c>
      <c r="U164">
        <v>151326</v>
      </c>
      <c r="V164" s="2">
        <f>winners_21___26[[#This Row],[Margin votes 2021]]/winners_21___26[[#This Row],[Total votes 2021.Sum of votes]]</f>
        <v>5.0417943716912786E-2</v>
      </c>
      <c r="W164" s="3">
        <f>(winners_21___26[[#This Row],[Margin votes 2026]]/winners_21___26[[#This Row],[Total votes 2026.Sum of votes]])*100</f>
        <v>6.463529069690602</v>
      </c>
      <c r="X164" t="str">
        <f>IF(winners_21___26[[#This Row],[winners 2021.party]]=winners_21___26[[#This Row],[winners 2026.party]],"Retained","Flipped")</f>
        <v>Flipped</v>
      </c>
    </row>
    <row r="165" spans="1:24" x14ac:dyDescent="0.3">
      <c r="A165" s="1" t="s">
        <v>518</v>
      </c>
      <c r="B165">
        <v>164</v>
      </c>
      <c r="C165" s="1" t="s">
        <v>519</v>
      </c>
      <c r="D165" s="1" t="s">
        <v>520</v>
      </c>
      <c r="E165">
        <v>67988</v>
      </c>
      <c r="F165" s="1" t="s">
        <v>521</v>
      </c>
      <c r="G165" s="1" t="s">
        <v>520</v>
      </c>
      <c r="H165">
        <v>56108</v>
      </c>
      <c r="I165" s="1" t="s">
        <v>509</v>
      </c>
      <c r="J165" s="1" t="s">
        <v>444</v>
      </c>
      <c r="K165" s="1" t="s">
        <v>23</v>
      </c>
      <c r="L165" s="1" t="s">
        <v>1056</v>
      </c>
      <c r="M165" s="1" t="s">
        <v>198</v>
      </c>
      <c r="N165">
        <v>51003</v>
      </c>
      <c r="O165" s="1" t="s">
        <v>1057</v>
      </c>
      <c r="P165" s="1" t="s">
        <v>15</v>
      </c>
      <c r="Q165">
        <v>53830</v>
      </c>
      <c r="R165">
        <f>winners_21___26[[#This Row],[winners 2021.votes]]-winners_21___26[[#This Row],[runner up 2021.votes]]</f>
        <v>16985</v>
      </c>
      <c r="S165">
        <f>winners_21___26[[#This Row],[winners 2026.votes]]-winners_21___26[[#This Row],[runner up 2026.votes]]</f>
        <v>2278</v>
      </c>
      <c r="T165">
        <v>142995</v>
      </c>
      <c r="U165">
        <v>151637</v>
      </c>
      <c r="V165" s="2">
        <f>winners_21___26[[#This Row],[Margin votes 2021]]/winners_21___26[[#This Row],[Total votes 2021.Sum of votes]]</f>
        <v>0.11878037693625651</v>
      </c>
      <c r="W165" s="3">
        <f>(winners_21___26[[#This Row],[Margin votes 2026]]/winners_21___26[[#This Row],[Total votes 2026.Sum of votes]])*100</f>
        <v>1.5022718729597657</v>
      </c>
      <c r="X165" t="str">
        <f>IF(winners_21___26[[#This Row],[winners 2021.party]]=winners_21___26[[#This Row],[winners 2026.party]],"Retained","Flipped")</f>
        <v>Retained</v>
      </c>
    </row>
    <row r="166" spans="1:24" x14ac:dyDescent="0.3">
      <c r="A166" s="1" t="s">
        <v>522</v>
      </c>
      <c r="B166">
        <v>165</v>
      </c>
      <c r="C166" s="1" t="s">
        <v>523</v>
      </c>
      <c r="D166" s="1" t="s">
        <v>27</v>
      </c>
      <c r="E166">
        <v>78719</v>
      </c>
      <c r="F166" s="1" t="s">
        <v>524</v>
      </c>
      <c r="G166" s="1" t="s">
        <v>27</v>
      </c>
      <c r="H166">
        <v>59172</v>
      </c>
      <c r="I166" s="1" t="s">
        <v>509</v>
      </c>
      <c r="J166" s="1" t="s">
        <v>444</v>
      </c>
      <c r="K166" s="1" t="s">
        <v>18</v>
      </c>
      <c r="L166" s="1" t="s">
        <v>1058</v>
      </c>
      <c r="M166" s="1" t="s">
        <v>13</v>
      </c>
      <c r="N166">
        <v>66390</v>
      </c>
      <c r="O166" s="1" t="s">
        <v>1059</v>
      </c>
      <c r="P166" s="1" t="s">
        <v>13</v>
      </c>
      <c r="Q166">
        <v>51841</v>
      </c>
      <c r="R166">
        <f>winners_21___26[[#This Row],[winners 2021.votes]]-winners_21___26[[#This Row],[runner up 2021.votes]]</f>
        <v>12329</v>
      </c>
      <c r="S166">
        <f>winners_21___26[[#This Row],[winners 2026.votes]]-winners_21___26[[#This Row],[runner up 2026.votes]]</f>
        <v>7331</v>
      </c>
      <c r="T166">
        <v>158060</v>
      </c>
      <c r="U166">
        <v>162216</v>
      </c>
      <c r="V166" s="2">
        <f>winners_21___26[[#This Row],[Margin votes 2021]]/winners_21___26[[#This Row],[Total votes 2021.Sum of votes]]</f>
        <v>7.8002024547640131E-2</v>
      </c>
      <c r="W166" s="3">
        <f>(winners_21___26[[#This Row],[Margin votes 2026]]/winners_21___26[[#This Row],[Total votes 2026.Sum of votes]])*100</f>
        <v>4.5192829314001086</v>
      </c>
      <c r="X166" t="str">
        <f>IF(winners_21___26[[#This Row],[winners 2021.party]]=winners_21___26[[#This Row],[winners 2026.party]],"Retained","Flipped")</f>
        <v>Retained</v>
      </c>
    </row>
    <row r="167" spans="1:24" x14ac:dyDescent="0.3">
      <c r="A167" s="1" t="s">
        <v>525</v>
      </c>
      <c r="B167">
        <v>166</v>
      </c>
      <c r="C167" s="1" t="s">
        <v>526</v>
      </c>
      <c r="D167" s="1" t="s">
        <v>190</v>
      </c>
      <c r="E167">
        <v>97092</v>
      </c>
      <c r="F167" s="1" t="s">
        <v>527</v>
      </c>
      <c r="G167" s="1" t="s">
        <v>190</v>
      </c>
      <c r="H167">
        <v>74062</v>
      </c>
      <c r="I167" s="1" t="s">
        <v>528</v>
      </c>
      <c r="J167" s="1" t="s">
        <v>444</v>
      </c>
      <c r="K167" s="1" t="s">
        <v>23</v>
      </c>
      <c r="L167" s="1" t="s">
        <v>1060</v>
      </c>
      <c r="M167" s="1" t="s">
        <v>27</v>
      </c>
      <c r="N167">
        <v>67024</v>
      </c>
      <c r="O167" s="1" t="s">
        <v>1061</v>
      </c>
      <c r="P167" s="1" t="s">
        <v>15</v>
      </c>
      <c r="Q167">
        <v>61140</v>
      </c>
      <c r="R167">
        <f>winners_21___26[[#This Row],[winners 2021.votes]]-winners_21___26[[#This Row],[runner up 2021.votes]]</f>
        <v>30068</v>
      </c>
      <c r="S167">
        <f>winners_21___26[[#This Row],[winners 2026.votes]]-winners_21___26[[#This Row],[runner up 2026.votes]]</f>
        <v>12922</v>
      </c>
      <c r="T167">
        <v>185886</v>
      </c>
      <c r="U167">
        <v>191030</v>
      </c>
      <c r="V167" s="2">
        <f>winners_21___26[[#This Row],[Margin votes 2021]]/winners_21___26[[#This Row],[Total votes 2021.Sum of votes]]</f>
        <v>0.16175505417298774</v>
      </c>
      <c r="W167" s="3">
        <f>(winners_21___26[[#This Row],[Margin votes 2026]]/winners_21___26[[#This Row],[Total votes 2026.Sum of votes]])*100</f>
        <v>6.7643825577134482</v>
      </c>
      <c r="X167" t="str">
        <f>IF(winners_21___26[[#This Row],[winners 2021.party]]=winners_21___26[[#This Row],[winners 2026.party]],"Retained","Flipped")</f>
        <v>Retained</v>
      </c>
    </row>
    <row r="168" spans="1:24" x14ac:dyDescent="0.3">
      <c r="A168" s="1" t="s">
        <v>529</v>
      </c>
      <c r="B168">
        <v>167</v>
      </c>
      <c r="C168" s="1" t="s">
        <v>530</v>
      </c>
      <c r="D168" s="1" t="s">
        <v>13</v>
      </c>
      <c r="E168">
        <v>87172</v>
      </c>
      <c r="F168" s="1" t="s">
        <v>531</v>
      </c>
      <c r="G168" s="1" t="s">
        <v>532</v>
      </c>
      <c r="H168">
        <v>68416</v>
      </c>
      <c r="I168" s="1" t="s">
        <v>528</v>
      </c>
      <c r="J168" s="1" t="s">
        <v>444</v>
      </c>
      <c r="K168" s="1" t="s">
        <v>18</v>
      </c>
      <c r="L168" s="1" t="s">
        <v>1062</v>
      </c>
      <c r="M168" s="1" t="s">
        <v>27</v>
      </c>
      <c r="N168">
        <v>49779</v>
      </c>
      <c r="O168" s="1" t="s">
        <v>1063</v>
      </c>
      <c r="P168" s="1" t="s">
        <v>13</v>
      </c>
      <c r="Q168">
        <v>66850</v>
      </c>
      <c r="R168">
        <f>winners_21___26[[#This Row],[winners 2021.votes]]-winners_21___26[[#This Row],[runner up 2021.votes]]</f>
        <v>37393</v>
      </c>
      <c r="S168">
        <f>winners_21___26[[#This Row],[winners 2026.votes]]-winners_21___26[[#This Row],[runner up 2026.votes]]</f>
        <v>1566</v>
      </c>
      <c r="T168">
        <v>193229</v>
      </c>
      <c r="U168">
        <v>194100</v>
      </c>
      <c r="V168" s="2">
        <f>winners_21___26[[#This Row],[Margin votes 2021]]/winners_21___26[[#This Row],[Total votes 2021.Sum of votes]]</f>
        <v>0.19351650114630828</v>
      </c>
      <c r="W168" s="3">
        <f>(winners_21___26[[#This Row],[Margin votes 2026]]/winners_21___26[[#This Row],[Total votes 2026.Sum of votes]])*100</f>
        <v>0.80680061823802163</v>
      </c>
      <c r="X168" t="str">
        <f>IF(winners_21___26[[#This Row],[winners 2021.party]]=winners_21___26[[#This Row],[winners 2026.party]],"Retained","Flipped")</f>
        <v>Flipped</v>
      </c>
    </row>
    <row r="169" spans="1:24" x14ac:dyDescent="0.3">
      <c r="A169" s="1" t="s">
        <v>533</v>
      </c>
      <c r="B169">
        <v>168</v>
      </c>
      <c r="C169" s="1" t="s">
        <v>534</v>
      </c>
      <c r="D169" s="1" t="s">
        <v>13</v>
      </c>
      <c r="E169">
        <v>108906</v>
      </c>
      <c r="F169" s="1" t="s">
        <v>535</v>
      </c>
      <c r="G169" s="1" t="s">
        <v>13</v>
      </c>
      <c r="H169">
        <v>93408</v>
      </c>
      <c r="I169" s="1" t="s">
        <v>528</v>
      </c>
      <c r="J169" s="1" t="s">
        <v>444</v>
      </c>
      <c r="K169" s="1" t="s">
        <v>18</v>
      </c>
      <c r="L169" s="1" t="s">
        <v>1064</v>
      </c>
      <c r="M169" s="1" t="s">
        <v>27</v>
      </c>
      <c r="N169">
        <v>57732</v>
      </c>
      <c r="O169" s="1" t="s">
        <v>1065</v>
      </c>
      <c r="P169" s="1" t="s">
        <v>15</v>
      </c>
      <c r="Q169">
        <v>75260</v>
      </c>
      <c r="R169">
        <f>winners_21___26[[#This Row],[winners 2021.votes]]-winners_21___26[[#This Row],[runner up 2021.votes]]</f>
        <v>51174</v>
      </c>
      <c r="S169">
        <f>winners_21___26[[#This Row],[winners 2026.votes]]-winners_21___26[[#This Row],[runner up 2026.votes]]</f>
        <v>18148</v>
      </c>
      <c r="T169">
        <v>208290</v>
      </c>
      <c r="U169">
        <v>217875</v>
      </c>
      <c r="V169" s="2">
        <f>winners_21___26[[#This Row],[Margin votes 2021]]/winners_21___26[[#This Row],[Total votes 2021.Sum of votes]]</f>
        <v>0.2456863027509722</v>
      </c>
      <c r="W169" s="3">
        <f>(winners_21___26[[#This Row],[Margin votes 2026]]/winners_21___26[[#This Row],[Total votes 2026.Sum of votes]])*100</f>
        <v>8.3295467584624205</v>
      </c>
      <c r="X169" t="str">
        <f>IF(winners_21___26[[#This Row],[winners 2021.party]]=winners_21___26[[#This Row],[winners 2026.party]],"Retained","Flipped")</f>
        <v>Retained</v>
      </c>
    </row>
    <row r="170" spans="1:24" x14ac:dyDescent="0.3">
      <c r="A170" s="1" t="s">
        <v>536</v>
      </c>
      <c r="B170">
        <v>169</v>
      </c>
      <c r="C170" s="1" t="s">
        <v>537</v>
      </c>
      <c r="D170" s="1" t="s">
        <v>27</v>
      </c>
      <c r="E170">
        <v>103637</v>
      </c>
      <c r="F170" s="1" t="s">
        <v>538</v>
      </c>
      <c r="G170" s="1" t="s">
        <v>27</v>
      </c>
      <c r="H170">
        <v>103462</v>
      </c>
      <c r="I170" s="1" t="s">
        <v>528</v>
      </c>
      <c r="J170" s="1" t="s">
        <v>444</v>
      </c>
      <c r="K170" s="1" t="s">
        <v>18</v>
      </c>
      <c r="L170" s="1" t="s">
        <v>1066</v>
      </c>
      <c r="M170" s="1" t="s">
        <v>13</v>
      </c>
      <c r="N170">
        <v>99213</v>
      </c>
      <c r="O170" s="1" t="s">
        <v>1067</v>
      </c>
      <c r="P170" s="1" t="s">
        <v>13</v>
      </c>
      <c r="Q170">
        <v>61738</v>
      </c>
      <c r="R170">
        <f>winners_21___26[[#This Row],[winners 2021.votes]]-winners_21___26[[#This Row],[runner up 2021.votes]]</f>
        <v>4424</v>
      </c>
      <c r="S170">
        <f>winners_21___26[[#This Row],[winners 2026.votes]]-winners_21___26[[#This Row],[runner up 2026.votes]]</f>
        <v>41724</v>
      </c>
      <c r="T170">
        <v>221944</v>
      </c>
      <c r="U170">
        <v>231444</v>
      </c>
      <c r="V170" s="2">
        <f>winners_21___26[[#This Row],[Margin votes 2021]]/winners_21___26[[#This Row],[Total votes 2021.Sum of votes]]</f>
        <v>1.9932956060988358E-2</v>
      </c>
      <c r="W170" s="3">
        <f>(winners_21___26[[#This Row],[Margin votes 2026]]/winners_21___26[[#This Row],[Total votes 2026.Sum of votes]])*100</f>
        <v>18.027687043086015</v>
      </c>
      <c r="X170" t="str">
        <f>IF(winners_21___26[[#This Row],[winners 2021.party]]=winners_21___26[[#This Row],[winners 2026.party]],"Retained","Flipped")</f>
        <v>Retained</v>
      </c>
    </row>
    <row r="171" spans="1:24" x14ac:dyDescent="0.3">
      <c r="A171" s="1" t="s">
        <v>539</v>
      </c>
      <c r="B171">
        <v>170</v>
      </c>
      <c r="C171" s="1" t="s">
        <v>540</v>
      </c>
      <c r="D171" s="1" t="s">
        <v>13</v>
      </c>
      <c r="E171">
        <v>95763</v>
      </c>
      <c r="F171" s="1" t="s">
        <v>541</v>
      </c>
      <c r="G171" s="1" t="s">
        <v>13</v>
      </c>
      <c r="H171">
        <v>79951</v>
      </c>
      <c r="I171" s="1" t="s">
        <v>542</v>
      </c>
      <c r="J171" s="1" t="s">
        <v>444</v>
      </c>
      <c r="K171" s="1" t="s">
        <v>23</v>
      </c>
      <c r="L171" s="1" t="s">
        <v>1068</v>
      </c>
      <c r="M171" s="1" t="s">
        <v>27</v>
      </c>
      <c r="N171">
        <v>85083</v>
      </c>
      <c r="O171" s="1" t="s">
        <v>1069</v>
      </c>
      <c r="P171" s="1" t="s">
        <v>15</v>
      </c>
      <c r="Q171">
        <v>65835</v>
      </c>
      <c r="R171">
        <f>winners_21___26[[#This Row],[winners 2021.votes]]-winners_21___26[[#This Row],[runner up 2021.votes]]</f>
        <v>10680</v>
      </c>
      <c r="S171">
        <f>winners_21___26[[#This Row],[winners 2026.votes]]-winners_21___26[[#This Row],[runner up 2026.votes]]</f>
        <v>14116</v>
      </c>
      <c r="T171">
        <v>198446</v>
      </c>
      <c r="U171">
        <v>208944</v>
      </c>
      <c r="V171" s="2">
        <f>winners_21___26[[#This Row],[Margin votes 2021]]/winners_21___26[[#This Row],[Total votes 2021.Sum of votes]]</f>
        <v>5.3818167158824065E-2</v>
      </c>
      <c r="W171" s="3">
        <f>(winners_21___26[[#This Row],[Margin votes 2026]]/winners_21___26[[#This Row],[Total votes 2026.Sum of votes]])*100</f>
        <v>6.7558771728309974</v>
      </c>
      <c r="X171" t="str">
        <f>IF(winners_21___26[[#This Row],[winners 2021.party]]=winners_21___26[[#This Row],[winners 2026.party]],"Retained","Flipped")</f>
        <v>Retained</v>
      </c>
    </row>
    <row r="172" spans="1:24" x14ac:dyDescent="0.3">
      <c r="A172" s="1" t="s">
        <v>543</v>
      </c>
      <c r="B172">
        <v>171</v>
      </c>
      <c r="C172" s="1" t="s">
        <v>544</v>
      </c>
      <c r="D172" s="1" t="s">
        <v>13</v>
      </c>
      <c r="E172">
        <v>96057</v>
      </c>
      <c r="F172" s="1" t="s">
        <v>545</v>
      </c>
      <c r="G172" s="1" t="s">
        <v>15</v>
      </c>
      <c r="H172">
        <v>78650</v>
      </c>
      <c r="I172" s="1" t="s">
        <v>542</v>
      </c>
      <c r="J172" s="1" t="s">
        <v>444</v>
      </c>
      <c r="K172" s="1" t="s">
        <v>18</v>
      </c>
      <c r="L172" s="1" t="s">
        <v>1070</v>
      </c>
      <c r="M172" s="1" t="s">
        <v>27</v>
      </c>
      <c r="N172">
        <v>74674</v>
      </c>
      <c r="O172" s="1" t="s">
        <v>1071</v>
      </c>
      <c r="P172" s="1" t="s">
        <v>13</v>
      </c>
      <c r="Q172">
        <v>77971</v>
      </c>
      <c r="R172">
        <f>winners_21___26[[#This Row],[winners 2021.votes]]-winners_21___26[[#This Row],[runner up 2021.votes]]</f>
        <v>21383</v>
      </c>
      <c r="S172">
        <f>winners_21___26[[#This Row],[winners 2026.votes]]-winners_21___26[[#This Row],[runner up 2026.votes]]</f>
        <v>679</v>
      </c>
      <c r="T172">
        <v>197564</v>
      </c>
      <c r="U172">
        <v>208288</v>
      </c>
      <c r="V172" s="2">
        <f>winners_21___26[[#This Row],[Margin votes 2021]]/winners_21___26[[#This Row],[Total votes 2021.Sum of votes]]</f>
        <v>0.10823328136705068</v>
      </c>
      <c r="W172" s="3">
        <f>(winners_21___26[[#This Row],[Margin votes 2026]]/winners_21___26[[#This Row],[Total votes 2026.Sum of votes]])*100</f>
        <v>0.32599093562759257</v>
      </c>
      <c r="X172" t="str">
        <f>IF(winners_21___26[[#This Row],[winners 2021.party]]=winners_21___26[[#This Row],[winners 2026.party]],"Retained","Flipped")</f>
        <v>Flipped</v>
      </c>
    </row>
    <row r="173" spans="1:24" x14ac:dyDescent="0.3">
      <c r="A173" s="1" t="s">
        <v>546</v>
      </c>
      <c r="B173">
        <v>172</v>
      </c>
      <c r="C173" s="1" t="s">
        <v>547</v>
      </c>
      <c r="D173" s="1" t="s">
        <v>13</v>
      </c>
      <c r="E173">
        <v>86567</v>
      </c>
      <c r="F173" s="1" t="s">
        <v>548</v>
      </c>
      <c r="G173" s="1" t="s">
        <v>163</v>
      </c>
      <c r="H173">
        <v>69284</v>
      </c>
      <c r="I173" s="1" t="s">
        <v>542</v>
      </c>
      <c r="J173" s="1" t="s">
        <v>444</v>
      </c>
      <c r="K173" s="1" t="s">
        <v>18</v>
      </c>
      <c r="L173" s="1" t="s">
        <v>1072</v>
      </c>
      <c r="M173" s="1" t="s">
        <v>27</v>
      </c>
      <c r="N173">
        <v>70294</v>
      </c>
      <c r="O173" s="1" t="s">
        <v>1073</v>
      </c>
      <c r="P173" s="1" t="s">
        <v>15</v>
      </c>
      <c r="Q173">
        <v>68219</v>
      </c>
      <c r="R173">
        <f>winners_21___26[[#This Row],[winners 2021.votes]]-winners_21___26[[#This Row],[runner up 2021.votes]]</f>
        <v>16273</v>
      </c>
      <c r="S173">
        <f>winners_21___26[[#This Row],[winners 2026.votes]]-winners_21___26[[#This Row],[runner up 2026.votes]]</f>
        <v>1065</v>
      </c>
      <c r="T173">
        <v>196982</v>
      </c>
      <c r="U173">
        <v>207723</v>
      </c>
      <c r="V173" s="2">
        <f>winners_21___26[[#This Row],[Margin votes 2021]]/winners_21___26[[#This Row],[Total votes 2021.Sum of votes]]</f>
        <v>8.261160918256491E-2</v>
      </c>
      <c r="W173" s="3">
        <f>(winners_21___26[[#This Row],[Margin votes 2026]]/winners_21___26[[#This Row],[Total votes 2026.Sum of votes]])*100</f>
        <v>0.51270201181380981</v>
      </c>
      <c r="X173" t="str">
        <f>IF(winners_21___26[[#This Row],[winners 2021.party]]=winners_21___26[[#This Row],[winners 2026.party]],"Retained","Flipped")</f>
        <v>Flipped</v>
      </c>
    </row>
    <row r="174" spans="1:24" x14ac:dyDescent="0.3">
      <c r="A174" s="1" t="s">
        <v>549</v>
      </c>
      <c r="B174">
        <v>173</v>
      </c>
      <c r="C174" s="1" t="s">
        <v>550</v>
      </c>
      <c r="D174" s="1" t="s">
        <v>13</v>
      </c>
      <c r="E174">
        <v>103210</v>
      </c>
      <c r="F174" s="1" t="s">
        <v>551</v>
      </c>
      <c r="G174" s="1" t="s">
        <v>13</v>
      </c>
      <c r="H174">
        <v>80425</v>
      </c>
      <c r="I174" s="1" t="s">
        <v>542</v>
      </c>
      <c r="J174" s="1" t="s">
        <v>444</v>
      </c>
      <c r="K174" s="1" t="s">
        <v>18</v>
      </c>
      <c r="L174" s="1" t="s">
        <v>1074</v>
      </c>
      <c r="M174" s="1" t="s">
        <v>324</v>
      </c>
      <c r="N174">
        <v>49560</v>
      </c>
      <c r="O174" s="1" t="s">
        <v>1075</v>
      </c>
      <c r="P174" s="1" t="s">
        <v>15</v>
      </c>
      <c r="Q174">
        <v>71870</v>
      </c>
      <c r="R174">
        <f>winners_21___26[[#This Row],[winners 2021.votes]]-winners_21___26[[#This Row],[runner up 2021.votes]]</f>
        <v>53650</v>
      </c>
      <c r="S174">
        <f>winners_21___26[[#This Row],[winners 2026.votes]]-winners_21___26[[#This Row],[runner up 2026.votes]]</f>
        <v>8555</v>
      </c>
      <c r="T174">
        <v>211430</v>
      </c>
      <c r="U174">
        <v>222111</v>
      </c>
      <c r="V174" s="2">
        <f>winners_21___26[[#This Row],[Margin votes 2021]]/winners_21___26[[#This Row],[Total votes 2021.Sum of votes]]</f>
        <v>0.25374828548455752</v>
      </c>
      <c r="W174" s="3">
        <f>(winners_21___26[[#This Row],[Margin votes 2026]]/winners_21___26[[#This Row],[Total votes 2026.Sum of votes]])*100</f>
        <v>3.8516777647212432</v>
      </c>
      <c r="X174" t="str">
        <f>IF(winners_21___26[[#This Row],[winners 2021.party]]=winners_21___26[[#This Row],[winners 2026.party]],"Retained","Flipped")</f>
        <v>Retained</v>
      </c>
    </row>
    <row r="175" spans="1:24" x14ac:dyDescent="0.3">
      <c r="A175" s="1" t="s">
        <v>542</v>
      </c>
      <c r="B175">
        <v>174</v>
      </c>
      <c r="C175" s="1" t="s">
        <v>552</v>
      </c>
      <c r="D175" s="1" t="s">
        <v>13</v>
      </c>
      <c r="E175">
        <v>103772</v>
      </c>
      <c r="F175" s="1" t="s">
        <v>553</v>
      </c>
      <c r="G175" s="1" t="s">
        <v>15</v>
      </c>
      <c r="H175">
        <v>87705</v>
      </c>
      <c r="I175" s="1" t="s">
        <v>542</v>
      </c>
      <c r="J175" s="1" t="s">
        <v>444</v>
      </c>
      <c r="K175" s="1" t="s">
        <v>18</v>
      </c>
      <c r="L175" s="1" t="s">
        <v>1076</v>
      </c>
      <c r="M175" s="1" t="s">
        <v>27</v>
      </c>
      <c r="N175">
        <v>56623</v>
      </c>
      <c r="O175" s="1" t="s">
        <v>1077</v>
      </c>
      <c r="P175" s="1" t="s">
        <v>13</v>
      </c>
      <c r="Q175">
        <v>70750</v>
      </c>
      <c r="R175">
        <f>winners_21___26[[#This Row],[winners 2021.votes]]-winners_21___26[[#This Row],[runner up 2021.votes]]</f>
        <v>47149</v>
      </c>
      <c r="S175">
        <f>winners_21___26[[#This Row],[winners 2026.votes]]-winners_21___26[[#This Row],[runner up 2026.votes]]</f>
        <v>16955</v>
      </c>
      <c r="T175">
        <v>194859</v>
      </c>
      <c r="U175">
        <v>198798</v>
      </c>
      <c r="V175" s="2">
        <f>winners_21___26[[#This Row],[Margin votes 2021]]/winners_21___26[[#This Row],[Total votes 2021.Sum of votes]]</f>
        <v>0.24196470268245243</v>
      </c>
      <c r="W175" s="3">
        <f>(winners_21___26[[#This Row],[Margin votes 2026]]/winners_21___26[[#This Row],[Total votes 2026.Sum of votes]])*100</f>
        <v>8.5287578345858606</v>
      </c>
      <c r="X175" t="str">
        <f>IF(winners_21___26[[#This Row],[winners 2021.party]]=winners_21___26[[#This Row],[winners 2026.party]],"Retained","Flipped")</f>
        <v>Flipped</v>
      </c>
    </row>
    <row r="176" spans="1:24" x14ac:dyDescent="0.3">
      <c r="A176" s="1" t="s">
        <v>554</v>
      </c>
      <c r="B176">
        <v>175</v>
      </c>
      <c r="C176" s="1" t="s">
        <v>555</v>
      </c>
      <c r="D176" s="1" t="s">
        <v>27</v>
      </c>
      <c r="E176">
        <v>90063</v>
      </c>
      <c r="F176" s="1" t="s">
        <v>556</v>
      </c>
      <c r="G176" s="1" t="s">
        <v>13</v>
      </c>
      <c r="H176">
        <v>86759</v>
      </c>
      <c r="I176" s="1" t="s">
        <v>542</v>
      </c>
      <c r="J176" s="1" t="s">
        <v>444</v>
      </c>
      <c r="K176" s="1" t="s">
        <v>18</v>
      </c>
      <c r="L176" s="1" t="s">
        <v>1078</v>
      </c>
      <c r="M176" s="1" t="s">
        <v>13</v>
      </c>
      <c r="N176">
        <v>61228</v>
      </c>
      <c r="O176" s="1" t="s">
        <v>1079</v>
      </c>
      <c r="P176" s="1" t="s">
        <v>15</v>
      </c>
      <c r="Q176">
        <v>51731</v>
      </c>
      <c r="R176">
        <f>winners_21___26[[#This Row],[winners 2021.votes]]-winners_21___26[[#This Row],[runner up 2021.votes]]</f>
        <v>28835</v>
      </c>
      <c r="S176">
        <f>winners_21___26[[#This Row],[winners 2026.votes]]-winners_21___26[[#This Row],[runner up 2026.votes]]</f>
        <v>35028</v>
      </c>
      <c r="T176">
        <v>191840</v>
      </c>
      <c r="U176">
        <v>195304</v>
      </c>
      <c r="V176" s="2">
        <f>winners_21___26[[#This Row],[Margin votes 2021]]/winners_21___26[[#This Row],[Total votes 2021.Sum of votes]]</f>
        <v>0.15030754795663054</v>
      </c>
      <c r="W176" s="3">
        <f>(winners_21___26[[#This Row],[Margin votes 2026]]/winners_21___26[[#This Row],[Total votes 2026.Sum of votes]])*100</f>
        <v>17.935116536271657</v>
      </c>
      <c r="X176" t="str">
        <f>IF(winners_21___26[[#This Row],[winners 2021.party]]=winners_21___26[[#This Row],[winners 2026.party]],"Retained","Flipped")</f>
        <v>Flipped</v>
      </c>
    </row>
    <row r="177" spans="1:24" x14ac:dyDescent="0.3">
      <c r="A177" s="1" t="s">
        <v>557</v>
      </c>
      <c r="B177">
        <v>176</v>
      </c>
      <c r="C177" s="1" t="s">
        <v>558</v>
      </c>
      <c r="D177" s="1" t="s">
        <v>13</v>
      </c>
      <c r="E177">
        <v>79065</v>
      </c>
      <c r="F177" s="1" t="s">
        <v>559</v>
      </c>
      <c r="G177" s="1" t="s">
        <v>13</v>
      </c>
      <c r="H177">
        <v>65963</v>
      </c>
      <c r="I177" s="1" t="s">
        <v>542</v>
      </c>
      <c r="J177" s="1" t="s">
        <v>444</v>
      </c>
      <c r="K177" s="1" t="s">
        <v>18</v>
      </c>
      <c r="L177" s="1" t="s">
        <v>1080</v>
      </c>
      <c r="M177" s="1" t="s">
        <v>27</v>
      </c>
      <c r="N177">
        <v>53796</v>
      </c>
      <c r="O177" s="1" t="s">
        <v>1081</v>
      </c>
      <c r="P177" s="1" t="s">
        <v>15</v>
      </c>
      <c r="Q177">
        <v>52209</v>
      </c>
      <c r="R177">
        <f>winners_21___26[[#This Row],[winners 2021.votes]]-winners_21___26[[#This Row],[runner up 2021.votes]]</f>
        <v>25269</v>
      </c>
      <c r="S177">
        <f>winners_21___26[[#This Row],[winners 2026.votes]]-winners_21___26[[#This Row],[runner up 2026.votes]]</f>
        <v>13754</v>
      </c>
      <c r="T177">
        <v>177200</v>
      </c>
      <c r="U177">
        <v>183745</v>
      </c>
      <c r="V177" s="2">
        <f>winners_21___26[[#This Row],[Margin votes 2021]]/winners_21___26[[#This Row],[Total votes 2021.Sum of votes]]</f>
        <v>0.14260158013544019</v>
      </c>
      <c r="W177" s="3">
        <f>(winners_21___26[[#This Row],[Margin votes 2026]]/winners_21___26[[#This Row],[Total votes 2026.Sum of votes]])*100</f>
        <v>7.4853737516667112</v>
      </c>
      <c r="X177" t="str">
        <f>IF(winners_21___26[[#This Row],[winners 2021.party]]=winners_21___26[[#This Row],[winners 2026.party]],"Retained","Flipped")</f>
        <v>Retained</v>
      </c>
    </row>
    <row r="178" spans="1:24" x14ac:dyDescent="0.3">
      <c r="A178" s="1" t="s">
        <v>560</v>
      </c>
      <c r="B178">
        <v>177</v>
      </c>
      <c r="C178" s="1" t="s">
        <v>561</v>
      </c>
      <c r="D178" s="1" t="s">
        <v>13</v>
      </c>
      <c r="E178">
        <v>89130</v>
      </c>
      <c r="F178" s="1" t="s">
        <v>562</v>
      </c>
      <c r="G178" s="1" t="s">
        <v>13</v>
      </c>
      <c r="H178">
        <v>60919</v>
      </c>
      <c r="I178" s="1" t="s">
        <v>542</v>
      </c>
      <c r="J178" s="1" t="s">
        <v>444</v>
      </c>
      <c r="K178" s="1" t="s">
        <v>18</v>
      </c>
      <c r="L178" s="1" t="s">
        <v>1082</v>
      </c>
      <c r="M178" s="1" t="s">
        <v>27</v>
      </c>
      <c r="N178">
        <v>65627</v>
      </c>
      <c r="O178" s="1" t="s">
        <v>1083</v>
      </c>
      <c r="P178" s="1" t="s">
        <v>27</v>
      </c>
      <c r="Q178">
        <v>57757</v>
      </c>
      <c r="R178">
        <f>winners_21___26[[#This Row],[winners 2021.votes]]-winners_21___26[[#This Row],[runner up 2021.votes]]</f>
        <v>23503</v>
      </c>
      <c r="S178">
        <f>winners_21___26[[#This Row],[winners 2026.votes]]-winners_21___26[[#This Row],[runner up 2026.votes]]</f>
        <v>3162</v>
      </c>
      <c r="T178">
        <v>170850</v>
      </c>
      <c r="U178">
        <v>176274</v>
      </c>
      <c r="V178" s="2">
        <f>winners_21___26[[#This Row],[Margin votes 2021]]/winners_21___26[[#This Row],[Total votes 2021.Sum of votes]]</f>
        <v>0.1375651155984782</v>
      </c>
      <c r="W178" s="3">
        <f>(winners_21___26[[#This Row],[Margin votes 2026]]/winners_21___26[[#This Row],[Total votes 2026.Sum of votes]])*100</f>
        <v>1.7937982912965043</v>
      </c>
      <c r="X178" t="str">
        <f>IF(winners_21___26[[#This Row],[winners 2021.party]]=winners_21___26[[#This Row],[winners 2026.party]],"Retained","Flipped")</f>
        <v>Retained</v>
      </c>
    </row>
    <row r="179" spans="1:24" x14ac:dyDescent="0.3">
      <c r="A179" s="1" t="s">
        <v>563</v>
      </c>
      <c r="B179">
        <v>178</v>
      </c>
      <c r="C179" s="1" t="s">
        <v>564</v>
      </c>
      <c r="D179" s="1" t="s">
        <v>520</v>
      </c>
      <c r="E179">
        <v>69710</v>
      </c>
      <c r="F179" s="1" t="s">
        <v>565</v>
      </c>
      <c r="G179" s="1" t="s">
        <v>15</v>
      </c>
      <c r="H179">
        <v>58795</v>
      </c>
      <c r="I179" s="1" t="s">
        <v>566</v>
      </c>
      <c r="J179" s="1" t="s">
        <v>444</v>
      </c>
      <c r="K179" s="1" t="s">
        <v>23</v>
      </c>
      <c r="L179" s="1" t="s">
        <v>1084</v>
      </c>
      <c r="M179" s="1" t="s">
        <v>27</v>
      </c>
      <c r="N179">
        <v>56989</v>
      </c>
      <c r="O179" s="1" t="s">
        <v>1085</v>
      </c>
      <c r="P179" s="1" t="s">
        <v>324</v>
      </c>
      <c r="Q179">
        <v>47756</v>
      </c>
      <c r="R179">
        <f>winners_21___26[[#This Row],[winners 2021.votes]]-winners_21___26[[#This Row],[runner up 2021.votes]]</f>
        <v>12721</v>
      </c>
      <c r="S179">
        <f>winners_21___26[[#This Row],[winners 2026.votes]]-winners_21___26[[#This Row],[runner up 2026.votes]]</f>
        <v>11039</v>
      </c>
      <c r="T179">
        <v>157620</v>
      </c>
      <c r="U179">
        <v>167618</v>
      </c>
      <c r="V179" s="2">
        <f>winners_21___26[[#This Row],[Margin votes 2021]]/winners_21___26[[#This Row],[Total votes 2021.Sum of votes]]</f>
        <v>8.07067631011293E-2</v>
      </c>
      <c r="W179" s="3">
        <f>(winners_21___26[[#This Row],[Margin votes 2026]]/winners_21___26[[#This Row],[Total votes 2026.Sum of votes]])*100</f>
        <v>6.5858082067558374</v>
      </c>
      <c r="X179" t="str">
        <f>IF(winners_21___26[[#This Row],[winners 2021.party]]=winners_21___26[[#This Row],[winners 2026.party]],"Retained","Flipped")</f>
        <v>Flipped</v>
      </c>
    </row>
    <row r="180" spans="1:24" x14ac:dyDescent="0.3">
      <c r="A180" s="1" t="s">
        <v>567</v>
      </c>
      <c r="B180">
        <v>179</v>
      </c>
      <c r="C180" s="1" t="s">
        <v>568</v>
      </c>
      <c r="D180" s="1" t="s">
        <v>27</v>
      </c>
      <c r="E180">
        <v>102179</v>
      </c>
      <c r="F180" s="1" t="s">
        <v>569</v>
      </c>
      <c r="G180" s="1" t="s">
        <v>27</v>
      </c>
      <c r="H180">
        <v>105773</v>
      </c>
      <c r="I180" s="1" t="s">
        <v>566</v>
      </c>
      <c r="J180" s="1" t="s">
        <v>444</v>
      </c>
      <c r="K180" s="1" t="s">
        <v>18</v>
      </c>
      <c r="L180" s="1" t="s">
        <v>1086</v>
      </c>
      <c r="M180" s="1" t="s">
        <v>13</v>
      </c>
      <c r="N180">
        <v>78581</v>
      </c>
      <c r="O180" s="1" t="s">
        <v>1087</v>
      </c>
      <c r="P180" s="1" t="s">
        <v>15</v>
      </c>
      <c r="Q180">
        <v>43700</v>
      </c>
      <c r="R180">
        <f>winners_21___26[[#This Row],[winners 2021.votes]]-winners_21___26[[#This Row],[runner up 2021.votes]]</f>
        <v>23598</v>
      </c>
      <c r="S180">
        <f>winners_21___26[[#This Row],[winners 2026.votes]]-winners_21___26[[#This Row],[runner up 2026.votes]]</f>
        <v>62073</v>
      </c>
      <c r="T180">
        <v>193423</v>
      </c>
      <c r="U180">
        <v>203921</v>
      </c>
      <c r="V180" s="2">
        <f>winners_21___26[[#This Row],[Margin votes 2021]]/winners_21___26[[#This Row],[Total votes 2021.Sum of votes]]</f>
        <v>0.12200203698629429</v>
      </c>
      <c r="W180" s="3">
        <f>(winners_21___26[[#This Row],[Margin votes 2026]]/winners_21___26[[#This Row],[Total votes 2026.Sum of votes]])*100</f>
        <v>30.439729110783098</v>
      </c>
      <c r="X180" t="str">
        <f>IF(winners_21___26[[#This Row],[winners 2021.party]]=winners_21___26[[#This Row],[winners 2026.party]],"Retained","Flipped")</f>
        <v>Retained</v>
      </c>
    </row>
    <row r="181" spans="1:24" x14ac:dyDescent="0.3">
      <c r="A181" s="1" t="s">
        <v>566</v>
      </c>
      <c r="B181">
        <v>180</v>
      </c>
      <c r="C181" s="1" t="s">
        <v>570</v>
      </c>
      <c r="D181" s="1" t="s">
        <v>13</v>
      </c>
      <c r="E181">
        <v>85802</v>
      </c>
      <c r="F181" s="1" t="s">
        <v>571</v>
      </c>
      <c r="G181" s="1" t="s">
        <v>13</v>
      </c>
      <c r="H181">
        <v>66825</v>
      </c>
      <c r="I181" s="1" t="s">
        <v>566</v>
      </c>
      <c r="J181" s="1" t="s">
        <v>444</v>
      </c>
      <c r="K181" s="1" t="s">
        <v>18</v>
      </c>
      <c r="L181" s="1" t="s">
        <v>1088</v>
      </c>
      <c r="M181" s="1" t="s">
        <v>27</v>
      </c>
      <c r="N181">
        <v>72801</v>
      </c>
      <c r="O181" s="1" t="s">
        <v>1089</v>
      </c>
      <c r="P181" s="1" t="s">
        <v>15</v>
      </c>
      <c r="Q181">
        <v>64958</v>
      </c>
      <c r="R181">
        <f>winners_21___26[[#This Row],[winners 2021.votes]]-winners_21___26[[#This Row],[runner up 2021.votes]]</f>
        <v>13001</v>
      </c>
      <c r="S181">
        <f>winners_21___26[[#This Row],[winners 2026.votes]]-winners_21___26[[#This Row],[runner up 2026.votes]]</f>
        <v>1867</v>
      </c>
      <c r="T181">
        <v>179892</v>
      </c>
      <c r="U181">
        <v>190378</v>
      </c>
      <c r="V181" s="2">
        <f>winners_21___26[[#This Row],[Margin votes 2021]]/winners_21___26[[#This Row],[Total votes 2021.Sum of votes]]</f>
        <v>7.2271140462055017E-2</v>
      </c>
      <c r="W181" s="3">
        <f>(winners_21___26[[#This Row],[Margin votes 2026]]/winners_21___26[[#This Row],[Total votes 2026.Sum of votes]])*100</f>
        <v>0.98068054081879208</v>
      </c>
      <c r="X181" t="str">
        <f>IF(winners_21___26[[#This Row],[winners 2021.party]]=winners_21___26[[#This Row],[winners 2026.party]],"Retained","Flipped")</f>
        <v>Retained</v>
      </c>
    </row>
    <row r="182" spans="1:24" x14ac:dyDescent="0.3">
      <c r="A182" s="1" t="s">
        <v>572</v>
      </c>
      <c r="B182">
        <v>181</v>
      </c>
      <c r="C182" s="1" t="s">
        <v>573</v>
      </c>
      <c r="D182" s="1" t="s">
        <v>13</v>
      </c>
      <c r="E182">
        <v>71349</v>
      </c>
      <c r="F182" s="1" t="s">
        <v>574</v>
      </c>
      <c r="G182" s="1" t="s">
        <v>13</v>
      </c>
      <c r="H182">
        <v>58201</v>
      </c>
      <c r="I182" s="1" t="s">
        <v>566</v>
      </c>
      <c r="J182" s="1" t="s">
        <v>444</v>
      </c>
      <c r="K182" s="1" t="s">
        <v>18</v>
      </c>
      <c r="L182" s="1" t="s">
        <v>1090</v>
      </c>
      <c r="M182" s="1" t="s">
        <v>27</v>
      </c>
      <c r="N182">
        <v>69967</v>
      </c>
      <c r="O182" s="1" t="s">
        <v>1091</v>
      </c>
      <c r="P182" s="1" t="s">
        <v>15</v>
      </c>
      <c r="Q182">
        <v>56709</v>
      </c>
      <c r="R182">
        <f>winners_21___26[[#This Row],[winners 2021.votes]]-winners_21___26[[#This Row],[runner up 2021.votes]]</f>
        <v>1382</v>
      </c>
      <c r="S182">
        <f>winners_21___26[[#This Row],[winners 2026.votes]]-winners_21___26[[#This Row],[runner up 2026.votes]]</f>
        <v>1492</v>
      </c>
      <c r="T182">
        <v>174031</v>
      </c>
      <c r="U182">
        <v>182612</v>
      </c>
      <c r="V182" s="2">
        <f>winners_21___26[[#This Row],[Margin votes 2021]]/winners_21___26[[#This Row],[Total votes 2021.Sum of votes]]</f>
        <v>7.9411139394705548E-3</v>
      </c>
      <c r="W182" s="3">
        <f>(winners_21___26[[#This Row],[Margin votes 2026]]/winners_21___26[[#This Row],[Total votes 2026.Sum of votes]])*100</f>
        <v>0.81703283464394461</v>
      </c>
      <c r="X182" t="str">
        <f>IF(winners_21___26[[#This Row],[winners 2021.party]]=winners_21___26[[#This Row],[winners 2026.party]],"Retained","Flipped")</f>
        <v>Retained</v>
      </c>
    </row>
    <row r="183" spans="1:24" x14ac:dyDescent="0.3">
      <c r="A183" s="1" t="s">
        <v>575</v>
      </c>
      <c r="B183">
        <v>182</v>
      </c>
      <c r="C183" s="1" t="s">
        <v>576</v>
      </c>
      <c r="D183" s="1" t="s">
        <v>13</v>
      </c>
      <c r="E183">
        <v>87935</v>
      </c>
      <c r="F183" s="1" t="s">
        <v>576</v>
      </c>
      <c r="G183" s="1" t="s">
        <v>13</v>
      </c>
      <c r="H183">
        <v>64929</v>
      </c>
      <c r="I183" s="1" t="s">
        <v>566</v>
      </c>
      <c r="J183" s="1" t="s">
        <v>444</v>
      </c>
      <c r="K183" s="1" t="s">
        <v>18</v>
      </c>
      <c r="L183" s="1" t="s">
        <v>1092</v>
      </c>
      <c r="M183" s="1" t="s">
        <v>27</v>
      </c>
      <c r="N183">
        <v>62088</v>
      </c>
      <c r="O183" s="1" t="s">
        <v>1093</v>
      </c>
      <c r="P183" s="1" t="s">
        <v>15</v>
      </c>
      <c r="Q183">
        <v>51952</v>
      </c>
      <c r="R183">
        <f>winners_21___26[[#This Row],[winners 2021.votes]]-winners_21___26[[#This Row],[runner up 2021.votes]]</f>
        <v>25847</v>
      </c>
      <c r="S183">
        <f>winners_21___26[[#This Row],[winners 2026.votes]]-winners_21___26[[#This Row],[runner up 2026.votes]]</f>
        <v>12977</v>
      </c>
      <c r="T183">
        <v>171842</v>
      </c>
      <c r="U183">
        <v>180483</v>
      </c>
      <c r="V183" s="2">
        <f>winners_21___26[[#This Row],[Margin votes 2021]]/winners_21___26[[#This Row],[Total votes 2021.Sum of votes]]</f>
        <v>0.15041142444803948</v>
      </c>
      <c r="W183" s="3">
        <f>(winners_21___26[[#This Row],[Margin votes 2026]]/winners_21___26[[#This Row],[Total votes 2026.Sum of votes]])*100</f>
        <v>7.1901508729354013</v>
      </c>
      <c r="X183" t="str">
        <f>IF(winners_21___26[[#This Row],[winners 2021.party]]=winners_21___26[[#This Row],[winners 2026.party]],"Retained","Flipped")</f>
        <v>Retained</v>
      </c>
    </row>
    <row r="184" spans="1:24" x14ac:dyDescent="0.3">
      <c r="A184" s="1" t="s">
        <v>577</v>
      </c>
      <c r="B184">
        <v>183</v>
      </c>
      <c r="C184" s="1" t="s">
        <v>578</v>
      </c>
      <c r="D184" s="1" t="s">
        <v>21</v>
      </c>
      <c r="E184">
        <v>81835</v>
      </c>
      <c r="F184" s="1" t="s">
        <v>579</v>
      </c>
      <c r="G184" s="1" t="s">
        <v>15</v>
      </c>
      <c r="H184">
        <v>73244</v>
      </c>
      <c r="I184" s="1" t="s">
        <v>566</v>
      </c>
      <c r="J184" s="1" t="s">
        <v>444</v>
      </c>
      <c r="K184" s="1" t="s">
        <v>18</v>
      </c>
      <c r="L184" s="1" t="s">
        <v>1094</v>
      </c>
      <c r="M184" s="1" t="s">
        <v>27</v>
      </c>
      <c r="N184">
        <v>50942</v>
      </c>
      <c r="O184" s="1" t="s">
        <v>1095</v>
      </c>
      <c r="P184" s="1" t="s">
        <v>21</v>
      </c>
      <c r="Q184">
        <v>63182</v>
      </c>
      <c r="R184">
        <f>winners_21___26[[#This Row],[winners 2021.votes]]-winners_21___26[[#This Row],[runner up 2021.votes]]</f>
        <v>30893</v>
      </c>
      <c r="S184">
        <f>winners_21___26[[#This Row],[winners 2026.votes]]-winners_21___26[[#This Row],[runner up 2026.votes]]</f>
        <v>10062</v>
      </c>
      <c r="T184">
        <v>168048</v>
      </c>
      <c r="U184">
        <v>182730</v>
      </c>
      <c r="V184" s="2">
        <f>winners_21___26[[#This Row],[Margin votes 2021]]/winners_21___26[[#This Row],[Total votes 2021.Sum of votes]]</f>
        <v>0.18383438065314672</v>
      </c>
      <c r="W184" s="3">
        <f>(winners_21___26[[#This Row],[Margin votes 2026]]/winners_21___26[[#This Row],[Total votes 2026.Sum of votes]])*100</f>
        <v>5.506484977836152</v>
      </c>
      <c r="X184" t="str">
        <f>IF(winners_21___26[[#This Row],[winners 2021.party]]=winners_21___26[[#This Row],[winners 2026.party]],"Retained","Flipped")</f>
        <v>Flipped</v>
      </c>
    </row>
    <row r="185" spans="1:24" x14ac:dyDescent="0.3">
      <c r="A185" s="1" t="s">
        <v>580</v>
      </c>
      <c r="B185">
        <v>184</v>
      </c>
      <c r="C185" s="1" t="s">
        <v>581</v>
      </c>
      <c r="D185" s="1" t="s">
        <v>21</v>
      </c>
      <c r="E185">
        <v>75954</v>
      </c>
      <c r="F185" s="1" t="s">
        <v>582</v>
      </c>
      <c r="G185" s="1" t="s">
        <v>15</v>
      </c>
      <c r="H185">
        <v>101358</v>
      </c>
      <c r="I185" s="1" t="s">
        <v>583</v>
      </c>
      <c r="J185" s="1" t="s">
        <v>411</v>
      </c>
      <c r="K185" s="1" t="s">
        <v>18</v>
      </c>
      <c r="L185" s="1" t="s">
        <v>1096</v>
      </c>
      <c r="M185" s="1" t="s">
        <v>324</v>
      </c>
      <c r="N185">
        <v>54365</v>
      </c>
      <c r="O185" s="1" t="s">
        <v>1097</v>
      </c>
      <c r="P185" s="1" t="s">
        <v>21</v>
      </c>
      <c r="Q185">
        <v>55284</v>
      </c>
      <c r="R185">
        <f>winners_21___26[[#This Row],[winners 2021.votes]]-winners_21___26[[#This Row],[runner up 2021.votes]]</f>
        <v>21589</v>
      </c>
      <c r="S185">
        <f>winners_21___26[[#This Row],[winners 2026.votes]]-winners_21___26[[#This Row],[runner up 2026.votes]]</f>
        <v>46074</v>
      </c>
      <c r="T185">
        <v>212456</v>
      </c>
      <c r="U185">
        <v>229267</v>
      </c>
      <c r="V185" s="2">
        <f>winners_21___26[[#This Row],[Margin votes 2021]]/winners_21___26[[#This Row],[Total votes 2021.Sum of votes]]</f>
        <v>0.10161633467635652</v>
      </c>
      <c r="W185" s="3">
        <f>(winners_21___26[[#This Row],[Margin votes 2026]]/winners_21___26[[#This Row],[Total votes 2026.Sum of votes]])*100</f>
        <v>20.096219691451452</v>
      </c>
      <c r="X185" t="str">
        <f>IF(winners_21___26[[#This Row],[winners 2021.party]]=winners_21___26[[#This Row],[winners 2026.party]],"Retained","Flipped")</f>
        <v>Flipped</v>
      </c>
    </row>
    <row r="186" spans="1:24" x14ac:dyDescent="0.3">
      <c r="A186" s="1" t="s">
        <v>170</v>
      </c>
      <c r="B186">
        <v>185</v>
      </c>
      <c r="C186" s="1" t="s">
        <v>584</v>
      </c>
      <c r="D186" s="1" t="s">
        <v>13</v>
      </c>
      <c r="E186">
        <v>103682</v>
      </c>
      <c r="F186" s="1" t="s">
        <v>585</v>
      </c>
      <c r="G186" s="1" t="s">
        <v>15</v>
      </c>
      <c r="H186">
        <v>83375</v>
      </c>
      <c r="I186" s="1" t="s">
        <v>583</v>
      </c>
      <c r="J186" s="1" t="s">
        <v>411</v>
      </c>
      <c r="K186" s="1" t="s">
        <v>18</v>
      </c>
      <c r="L186" s="1" t="s">
        <v>1098</v>
      </c>
      <c r="M186" s="1" t="s">
        <v>27</v>
      </c>
      <c r="N186">
        <v>66308</v>
      </c>
      <c r="O186" s="1" t="s">
        <v>1099</v>
      </c>
      <c r="P186" s="1" t="s">
        <v>13</v>
      </c>
      <c r="Q186">
        <v>83374</v>
      </c>
      <c r="R186">
        <f>winners_21___26[[#This Row],[winners 2021.votes]]-winners_21___26[[#This Row],[runner up 2021.votes]]</f>
        <v>37374</v>
      </c>
      <c r="S186">
        <f>winners_21___26[[#This Row],[winners 2026.votes]]-winners_21___26[[#This Row],[runner up 2026.votes]]</f>
        <v>1</v>
      </c>
      <c r="T186">
        <v>210766</v>
      </c>
      <c r="U186">
        <v>215710</v>
      </c>
      <c r="V186" s="2">
        <f>winners_21___26[[#This Row],[Margin votes 2021]]/winners_21___26[[#This Row],[Total votes 2021.Sum of votes]]</f>
        <v>0.17732461592476964</v>
      </c>
      <c r="W186" s="3">
        <f>(winners_21___26[[#This Row],[Margin votes 2026]]/winners_21___26[[#This Row],[Total votes 2026.Sum of votes]])*100</f>
        <v>4.6358536924574658E-4</v>
      </c>
      <c r="X186" t="str">
        <f>IF(winners_21___26[[#This Row],[winners 2021.party]]=winners_21___26[[#This Row],[winners 2026.party]],"Retained","Flipped")</f>
        <v>Flipped</v>
      </c>
    </row>
    <row r="187" spans="1:24" x14ac:dyDescent="0.3">
      <c r="A187" s="1" t="s">
        <v>583</v>
      </c>
      <c r="B187">
        <v>186</v>
      </c>
      <c r="C187" s="1" t="s">
        <v>586</v>
      </c>
      <c r="D187" s="1" t="s">
        <v>27</v>
      </c>
      <c r="E187">
        <v>82153</v>
      </c>
      <c r="F187" s="1" t="s">
        <v>587</v>
      </c>
      <c r="G187" s="1" t="s">
        <v>15</v>
      </c>
      <c r="H187">
        <v>73737</v>
      </c>
      <c r="I187" s="1" t="s">
        <v>583</v>
      </c>
      <c r="J187" s="1" t="s">
        <v>411</v>
      </c>
      <c r="K187" s="1" t="s">
        <v>18</v>
      </c>
      <c r="L187" s="1" t="s">
        <v>1100</v>
      </c>
      <c r="M187" s="1" t="s">
        <v>190</v>
      </c>
      <c r="N187">
        <v>70900</v>
      </c>
      <c r="O187" s="1" t="s">
        <v>1101</v>
      </c>
      <c r="P187" s="1" t="s">
        <v>27</v>
      </c>
      <c r="Q187">
        <v>58656</v>
      </c>
      <c r="R187">
        <f>winners_21___26[[#This Row],[winners 2021.votes]]-winners_21___26[[#This Row],[runner up 2021.votes]]</f>
        <v>11253</v>
      </c>
      <c r="S187">
        <f>winners_21___26[[#This Row],[winners 2026.votes]]-winners_21___26[[#This Row],[runner up 2026.votes]]</f>
        <v>15081</v>
      </c>
      <c r="T187">
        <v>202044</v>
      </c>
      <c r="U187">
        <v>214067</v>
      </c>
      <c r="V187" s="2">
        <f>winners_21___26[[#This Row],[Margin votes 2021]]/winners_21___26[[#This Row],[Total votes 2021.Sum of votes]]</f>
        <v>5.5695789036051553E-2</v>
      </c>
      <c r="W187" s="3">
        <f>(winners_21___26[[#This Row],[Margin votes 2026]]/winners_21___26[[#This Row],[Total votes 2026.Sum of votes]])*100</f>
        <v>7.0449905870591909</v>
      </c>
      <c r="X187" t="str">
        <f>IF(winners_21___26[[#This Row],[winners 2021.party]]=winners_21___26[[#This Row],[winners 2026.party]],"Retained","Flipped")</f>
        <v>Flipped</v>
      </c>
    </row>
    <row r="188" spans="1:24" x14ac:dyDescent="0.3">
      <c r="A188" s="1" t="s">
        <v>588</v>
      </c>
      <c r="B188">
        <v>187</v>
      </c>
      <c r="C188" s="1" t="s">
        <v>589</v>
      </c>
      <c r="D188" s="1" t="s">
        <v>13</v>
      </c>
      <c r="E188">
        <v>89364</v>
      </c>
      <c r="F188" s="1" t="s">
        <v>590</v>
      </c>
      <c r="G188" s="1" t="s">
        <v>15</v>
      </c>
      <c r="H188">
        <v>69971</v>
      </c>
      <c r="I188" s="1" t="s">
        <v>583</v>
      </c>
      <c r="J188" s="1" t="s">
        <v>411</v>
      </c>
      <c r="K188" s="1" t="s">
        <v>23</v>
      </c>
      <c r="L188" s="1" t="s">
        <v>1102</v>
      </c>
      <c r="M188" s="1" t="s">
        <v>27</v>
      </c>
      <c r="N188">
        <v>75273</v>
      </c>
      <c r="O188" s="1" t="s">
        <v>1103</v>
      </c>
      <c r="P188" s="1" t="s">
        <v>13</v>
      </c>
      <c r="Q188">
        <v>68763</v>
      </c>
      <c r="R188">
        <f>winners_21___26[[#This Row],[winners 2021.votes]]-winners_21___26[[#This Row],[runner up 2021.votes]]</f>
        <v>14091</v>
      </c>
      <c r="S188">
        <f>winners_21___26[[#This Row],[winners 2026.votes]]-winners_21___26[[#This Row],[runner up 2026.votes]]</f>
        <v>1208</v>
      </c>
      <c r="T188">
        <v>203061</v>
      </c>
      <c r="U188">
        <v>208643</v>
      </c>
      <c r="V188" s="2">
        <f>winners_21___26[[#This Row],[Margin votes 2021]]/winners_21___26[[#This Row],[Total votes 2021.Sum of votes]]</f>
        <v>6.9392941037422246E-2</v>
      </c>
      <c r="W188" s="3">
        <f>(winners_21___26[[#This Row],[Margin votes 2026]]/winners_21___26[[#This Row],[Total votes 2026.Sum of votes]])*100</f>
        <v>0.57897940501238954</v>
      </c>
      <c r="X188" t="str">
        <f>IF(winners_21___26[[#This Row],[winners 2021.party]]=winners_21___26[[#This Row],[winners 2026.party]],"Retained","Flipped")</f>
        <v>Flipped</v>
      </c>
    </row>
    <row r="189" spans="1:24" x14ac:dyDescent="0.3">
      <c r="A189" s="1" t="s">
        <v>591</v>
      </c>
      <c r="B189">
        <v>188</v>
      </c>
      <c r="C189" s="1" t="s">
        <v>592</v>
      </c>
      <c r="D189" s="1" t="s">
        <v>27</v>
      </c>
      <c r="E189">
        <v>83344</v>
      </c>
      <c r="F189" s="1" t="s">
        <v>593</v>
      </c>
      <c r="G189" s="1" t="s">
        <v>21</v>
      </c>
      <c r="H189">
        <v>60080</v>
      </c>
      <c r="I189" s="1" t="s">
        <v>594</v>
      </c>
      <c r="J189" s="1" t="s">
        <v>411</v>
      </c>
      <c r="K189" s="1" t="s">
        <v>18</v>
      </c>
      <c r="L189" s="1" t="s">
        <v>1104</v>
      </c>
      <c r="M189" s="1" t="s">
        <v>21</v>
      </c>
      <c r="N189">
        <v>48182</v>
      </c>
      <c r="O189" s="1" t="s">
        <v>1105</v>
      </c>
      <c r="P189" s="1" t="s">
        <v>15</v>
      </c>
      <c r="Q189">
        <v>57356</v>
      </c>
      <c r="R189">
        <f>winners_21___26[[#This Row],[winners 2021.votes]]-winners_21___26[[#This Row],[runner up 2021.votes]]</f>
        <v>35162</v>
      </c>
      <c r="S189">
        <f>winners_21___26[[#This Row],[winners 2026.votes]]-winners_21___26[[#This Row],[runner up 2026.votes]]</f>
        <v>2724</v>
      </c>
      <c r="T189">
        <v>182782</v>
      </c>
      <c r="U189">
        <v>190726</v>
      </c>
      <c r="V189" s="2">
        <f>winners_21___26[[#This Row],[Margin votes 2021]]/winners_21___26[[#This Row],[Total votes 2021.Sum of votes]]</f>
        <v>0.1923712400564607</v>
      </c>
      <c r="W189" s="3">
        <f>(winners_21___26[[#This Row],[Margin votes 2026]]/winners_21___26[[#This Row],[Total votes 2026.Sum of votes]])*100</f>
        <v>1.4282268804462948</v>
      </c>
      <c r="X189" t="str">
        <f>IF(winners_21___26[[#This Row],[winners 2021.party]]=winners_21___26[[#This Row],[winners 2026.party]],"Retained","Flipped")</f>
        <v>Flipped</v>
      </c>
    </row>
    <row r="190" spans="1:24" x14ac:dyDescent="0.3">
      <c r="A190" s="1" t="s">
        <v>595</v>
      </c>
      <c r="B190">
        <v>189</v>
      </c>
      <c r="C190" s="1" t="s">
        <v>596</v>
      </c>
      <c r="D190" s="1" t="s">
        <v>13</v>
      </c>
      <c r="E190">
        <v>122729</v>
      </c>
      <c r="F190" s="1" t="s">
        <v>597</v>
      </c>
      <c r="G190" s="1" t="s">
        <v>15</v>
      </c>
      <c r="H190">
        <v>118777</v>
      </c>
      <c r="I190" s="1" t="s">
        <v>594</v>
      </c>
      <c r="J190" s="1" t="s">
        <v>411</v>
      </c>
      <c r="K190" s="1" t="s">
        <v>18</v>
      </c>
      <c r="L190" s="1" t="s">
        <v>1106</v>
      </c>
      <c r="M190" s="1" t="s">
        <v>27</v>
      </c>
      <c r="N190">
        <v>73125</v>
      </c>
      <c r="O190" s="1" t="s">
        <v>596</v>
      </c>
      <c r="P190" s="1" t="s">
        <v>13</v>
      </c>
      <c r="Q190">
        <v>102230</v>
      </c>
      <c r="R190">
        <f>winners_21___26[[#This Row],[winners 2021.votes]]-winners_21___26[[#This Row],[runner up 2021.votes]]</f>
        <v>49604</v>
      </c>
      <c r="S190">
        <f>winners_21___26[[#This Row],[winners 2026.votes]]-winners_21___26[[#This Row],[runner up 2026.votes]]</f>
        <v>16547</v>
      </c>
      <c r="T190">
        <v>237892</v>
      </c>
      <c r="U190">
        <v>271566</v>
      </c>
      <c r="V190" s="2">
        <f>winners_21___26[[#This Row],[Margin votes 2021]]/winners_21___26[[#This Row],[Total votes 2021.Sum of votes]]</f>
        <v>0.20851478822322736</v>
      </c>
      <c r="W190" s="3">
        <f>(winners_21___26[[#This Row],[Margin votes 2026]]/winners_21___26[[#This Row],[Total votes 2026.Sum of votes]])*100</f>
        <v>6.0931780856219113</v>
      </c>
      <c r="X190" t="str">
        <f>IF(winners_21___26[[#This Row],[winners 2021.party]]=winners_21___26[[#This Row],[winners 2026.party]],"Retained","Flipped")</f>
        <v>Flipped</v>
      </c>
    </row>
    <row r="191" spans="1:24" x14ac:dyDescent="0.3">
      <c r="A191" s="1" t="s">
        <v>598</v>
      </c>
      <c r="B191">
        <v>190</v>
      </c>
      <c r="C191" s="1" t="s">
        <v>599</v>
      </c>
      <c r="D191" s="1" t="s">
        <v>13</v>
      </c>
      <c r="E191">
        <v>84240</v>
      </c>
      <c r="F191" s="1" t="s">
        <v>600</v>
      </c>
      <c r="G191" s="1" t="s">
        <v>15</v>
      </c>
      <c r="H191">
        <v>63907</v>
      </c>
      <c r="I191" s="1" t="s">
        <v>594</v>
      </c>
      <c r="J191" s="1" t="s">
        <v>411</v>
      </c>
      <c r="K191" s="1" t="s">
        <v>23</v>
      </c>
      <c r="L191" s="1" t="s">
        <v>1107</v>
      </c>
      <c r="M191" s="1" t="s">
        <v>27</v>
      </c>
      <c r="N191">
        <v>67195</v>
      </c>
      <c r="O191" s="1" t="s">
        <v>1108</v>
      </c>
      <c r="P191" s="1" t="s">
        <v>13</v>
      </c>
      <c r="Q191">
        <v>61229</v>
      </c>
      <c r="R191">
        <f>winners_21___26[[#This Row],[winners 2021.votes]]-winners_21___26[[#This Row],[runner up 2021.votes]]</f>
        <v>17045</v>
      </c>
      <c r="S191">
        <f>winners_21___26[[#This Row],[winners 2026.votes]]-winners_21___26[[#This Row],[runner up 2026.votes]]</f>
        <v>2678</v>
      </c>
      <c r="T191">
        <v>175361</v>
      </c>
      <c r="U191">
        <v>189080</v>
      </c>
      <c r="V191" s="2">
        <f>winners_21___26[[#This Row],[Margin votes 2021]]/winners_21___26[[#This Row],[Total votes 2021.Sum of votes]]</f>
        <v>9.7199491335017485E-2</v>
      </c>
      <c r="W191" s="3">
        <f>(winners_21___26[[#This Row],[Margin votes 2026]]/winners_21___26[[#This Row],[Total votes 2026.Sum of votes]])*100</f>
        <v>1.416331711444891</v>
      </c>
      <c r="X191" t="str">
        <f>IF(winners_21___26[[#This Row],[winners 2021.party]]=winners_21___26[[#This Row],[winners 2026.party]],"Retained","Flipped")</f>
        <v>Flipped</v>
      </c>
    </row>
    <row r="192" spans="1:24" x14ac:dyDescent="0.3">
      <c r="A192" s="1" t="s">
        <v>601</v>
      </c>
      <c r="B192">
        <v>191</v>
      </c>
      <c r="C192" s="1" t="s">
        <v>602</v>
      </c>
      <c r="D192" s="1" t="s">
        <v>13</v>
      </c>
      <c r="E192">
        <v>73010</v>
      </c>
      <c r="F192" s="1" t="s">
        <v>603</v>
      </c>
      <c r="G192" s="1" t="s">
        <v>15</v>
      </c>
      <c r="H192">
        <v>72853</v>
      </c>
      <c r="I192" s="1" t="s">
        <v>594</v>
      </c>
      <c r="J192" s="1" t="s">
        <v>411</v>
      </c>
      <c r="K192" s="1" t="s">
        <v>18</v>
      </c>
      <c r="L192" s="1" t="s">
        <v>1109</v>
      </c>
      <c r="M192" s="1" t="s">
        <v>324</v>
      </c>
      <c r="N192">
        <v>50094</v>
      </c>
      <c r="O192" s="1" t="s">
        <v>1110</v>
      </c>
      <c r="P192" s="1" t="s">
        <v>13</v>
      </c>
      <c r="Q192">
        <v>54815</v>
      </c>
      <c r="R192">
        <f>winners_21___26[[#This Row],[winners 2021.votes]]-winners_21___26[[#This Row],[runner up 2021.votes]]</f>
        <v>22916</v>
      </c>
      <c r="S192">
        <f>winners_21___26[[#This Row],[winners 2026.votes]]-winners_21___26[[#This Row],[runner up 2026.votes]]</f>
        <v>18038</v>
      </c>
      <c r="T192">
        <v>156556</v>
      </c>
      <c r="U192">
        <v>161801</v>
      </c>
      <c r="V192" s="2">
        <f>winners_21___26[[#This Row],[Margin votes 2021]]/winners_21___26[[#This Row],[Total votes 2021.Sum of votes]]</f>
        <v>0.14637573775518026</v>
      </c>
      <c r="W192" s="3">
        <f>(winners_21___26[[#This Row],[Margin votes 2026]]/winners_21___26[[#This Row],[Total votes 2026.Sum of votes]])*100</f>
        <v>11.148262371678792</v>
      </c>
      <c r="X192" t="str">
        <f>IF(winners_21___26[[#This Row],[winners 2021.party]]=winners_21___26[[#This Row],[winners 2026.party]],"Retained","Flipped")</f>
        <v>Flipped</v>
      </c>
    </row>
    <row r="193" spans="1:24" x14ac:dyDescent="0.3">
      <c r="A193" s="1" t="s">
        <v>604</v>
      </c>
      <c r="B193">
        <v>192</v>
      </c>
      <c r="C193" s="1" t="s">
        <v>605</v>
      </c>
      <c r="D193" s="1" t="s">
        <v>13</v>
      </c>
      <c r="E193">
        <v>62812</v>
      </c>
      <c r="F193" s="1" t="s">
        <v>606</v>
      </c>
      <c r="G193" s="1" t="s">
        <v>15</v>
      </c>
      <c r="H193">
        <v>62415</v>
      </c>
      <c r="I193" s="1" t="s">
        <v>594</v>
      </c>
      <c r="J193" s="1" t="s">
        <v>411</v>
      </c>
      <c r="K193" s="1" t="s">
        <v>18</v>
      </c>
      <c r="L193" s="1" t="s">
        <v>1111</v>
      </c>
      <c r="M193" s="1" t="s">
        <v>27</v>
      </c>
      <c r="N193">
        <v>56297</v>
      </c>
      <c r="O193" s="1" t="s">
        <v>1112</v>
      </c>
      <c r="P193" s="1" t="s">
        <v>13</v>
      </c>
      <c r="Q193">
        <v>40886</v>
      </c>
      <c r="R193">
        <f>winners_21___26[[#This Row],[winners 2021.votes]]-winners_21___26[[#This Row],[runner up 2021.votes]]</f>
        <v>6515</v>
      </c>
      <c r="S193">
        <f>winners_21___26[[#This Row],[winners 2026.votes]]-winners_21___26[[#This Row],[runner up 2026.votes]]</f>
        <v>21529</v>
      </c>
      <c r="T193">
        <v>147833</v>
      </c>
      <c r="U193">
        <v>141503</v>
      </c>
      <c r="V193" s="2">
        <f>winners_21___26[[#This Row],[Margin votes 2021]]/winners_21___26[[#This Row],[Total votes 2021.Sum of votes]]</f>
        <v>4.406999790303924E-2</v>
      </c>
      <c r="W193" s="3">
        <f>(winners_21___26[[#This Row],[Margin votes 2026]]/winners_21___26[[#This Row],[Total votes 2026.Sum of votes]])*100</f>
        <v>15.214518420104167</v>
      </c>
      <c r="X193" t="str">
        <f>IF(winners_21___26[[#This Row],[winners 2021.party]]=winners_21___26[[#This Row],[winners 2026.party]],"Retained","Flipped")</f>
        <v>Flipped</v>
      </c>
    </row>
    <row r="194" spans="1:24" x14ac:dyDescent="0.3">
      <c r="A194" s="1" t="s">
        <v>607</v>
      </c>
      <c r="B194">
        <v>193</v>
      </c>
      <c r="C194" s="1" t="s">
        <v>608</v>
      </c>
      <c r="D194" s="1" t="s">
        <v>13</v>
      </c>
      <c r="E194">
        <v>73205</v>
      </c>
      <c r="F194" s="1" t="s">
        <v>609</v>
      </c>
      <c r="G194" s="1" t="s">
        <v>15</v>
      </c>
      <c r="H194">
        <v>63414</v>
      </c>
      <c r="I194" s="1" t="s">
        <v>594</v>
      </c>
      <c r="J194" s="1" t="s">
        <v>411</v>
      </c>
      <c r="K194" s="1" t="s">
        <v>18</v>
      </c>
      <c r="L194" s="1" t="s">
        <v>1113</v>
      </c>
      <c r="M194" s="1" t="s">
        <v>27</v>
      </c>
      <c r="N194">
        <v>39029</v>
      </c>
      <c r="O194" s="1" t="s">
        <v>608</v>
      </c>
      <c r="P194" s="1" t="s">
        <v>13</v>
      </c>
      <c r="Q194">
        <v>44286</v>
      </c>
      <c r="R194">
        <f>winners_21___26[[#This Row],[winners 2021.votes]]-winners_21___26[[#This Row],[runner up 2021.votes]]</f>
        <v>34176</v>
      </c>
      <c r="S194">
        <f>winners_21___26[[#This Row],[winners 2026.votes]]-winners_21___26[[#This Row],[runner up 2026.votes]]</f>
        <v>19128</v>
      </c>
      <c r="T194">
        <v>149430</v>
      </c>
      <c r="U194">
        <v>148586</v>
      </c>
      <c r="V194" s="2">
        <f>winners_21___26[[#This Row],[Margin votes 2021]]/winners_21___26[[#This Row],[Total votes 2021.Sum of votes]]</f>
        <v>0.22870909455932545</v>
      </c>
      <c r="W194" s="3">
        <f>(winners_21___26[[#This Row],[Margin votes 2026]]/winners_21___26[[#This Row],[Total votes 2026.Sum of votes]])*100</f>
        <v>12.87335280578251</v>
      </c>
      <c r="X194" t="str">
        <f>IF(winners_21___26[[#This Row],[winners 2021.party]]=winners_21___26[[#This Row],[winners 2026.party]],"Retained","Flipped")</f>
        <v>Flipped</v>
      </c>
    </row>
    <row r="195" spans="1:24" x14ac:dyDescent="0.3">
      <c r="A195" s="1" t="s">
        <v>610</v>
      </c>
      <c r="B195">
        <v>194</v>
      </c>
      <c r="C195" s="1" t="s">
        <v>611</v>
      </c>
      <c r="D195" s="1" t="s">
        <v>27</v>
      </c>
      <c r="E195">
        <v>83883</v>
      </c>
      <c r="F195" s="1" t="s">
        <v>612</v>
      </c>
      <c r="G195" s="1" t="s">
        <v>15</v>
      </c>
      <c r="H195">
        <v>88250</v>
      </c>
      <c r="I195" s="1" t="s">
        <v>594</v>
      </c>
      <c r="J195" s="1" t="s">
        <v>411</v>
      </c>
      <c r="K195" s="1" t="s">
        <v>18</v>
      </c>
      <c r="L195" s="1" t="s">
        <v>1114</v>
      </c>
      <c r="M195" s="1" t="s">
        <v>13</v>
      </c>
      <c r="N195">
        <v>74762</v>
      </c>
      <c r="O195" s="1" t="s">
        <v>1115</v>
      </c>
      <c r="P195" s="1" t="s">
        <v>13</v>
      </c>
      <c r="Q195">
        <v>76319</v>
      </c>
      <c r="R195">
        <f>winners_21___26[[#This Row],[winners 2021.votes]]-winners_21___26[[#This Row],[runner up 2021.votes]]</f>
        <v>9121</v>
      </c>
      <c r="S195">
        <f>winners_21___26[[#This Row],[winners 2026.votes]]-winners_21___26[[#This Row],[runner up 2026.votes]]</f>
        <v>11931</v>
      </c>
      <c r="T195">
        <v>201694</v>
      </c>
      <c r="U195">
        <v>216403</v>
      </c>
      <c r="V195" s="2">
        <f>winners_21___26[[#This Row],[Margin votes 2021]]/winners_21___26[[#This Row],[Total votes 2021.Sum of votes]]</f>
        <v>4.5221969914821462E-2</v>
      </c>
      <c r="W195" s="3">
        <f>(winners_21___26[[#This Row],[Margin votes 2026]]/winners_21___26[[#This Row],[Total votes 2026.Sum of votes]])*100</f>
        <v>5.513324676644964</v>
      </c>
      <c r="X195" t="str">
        <f>IF(winners_21___26[[#This Row],[winners 2021.party]]=winners_21___26[[#This Row],[winners 2026.party]],"Retained","Flipped")</f>
        <v>Flipped</v>
      </c>
    </row>
    <row r="196" spans="1:24" x14ac:dyDescent="0.3">
      <c r="A196" s="1" t="s">
        <v>613</v>
      </c>
      <c r="B196">
        <v>195</v>
      </c>
      <c r="C196" s="1" t="s">
        <v>614</v>
      </c>
      <c r="D196" s="1" t="s">
        <v>27</v>
      </c>
      <c r="E196">
        <v>103683</v>
      </c>
      <c r="F196" s="1" t="s">
        <v>615</v>
      </c>
      <c r="G196" s="1" t="s">
        <v>15</v>
      </c>
      <c r="H196">
        <v>114316</v>
      </c>
      <c r="I196" s="1" t="s">
        <v>594</v>
      </c>
      <c r="J196" s="1" t="s">
        <v>411</v>
      </c>
      <c r="K196" s="1" t="s">
        <v>18</v>
      </c>
      <c r="L196" s="1" t="s">
        <v>1116</v>
      </c>
      <c r="M196" s="1" t="s">
        <v>520</v>
      </c>
      <c r="N196">
        <v>74194</v>
      </c>
      <c r="O196" s="1" t="s">
        <v>1117</v>
      </c>
      <c r="P196" s="1" t="s">
        <v>13</v>
      </c>
      <c r="Q196">
        <v>72763</v>
      </c>
      <c r="R196">
        <f>winners_21___26[[#This Row],[winners 2021.votes]]-winners_21___26[[#This Row],[runner up 2021.votes]]</f>
        <v>29489</v>
      </c>
      <c r="S196">
        <f>winners_21___26[[#This Row],[winners 2026.votes]]-winners_21___26[[#This Row],[runner up 2026.votes]]</f>
        <v>41553</v>
      </c>
      <c r="T196">
        <v>235849</v>
      </c>
      <c r="U196">
        <v>255466</v>
      </c>
      <c r="V196" s="2">
        <f>winners_21___26[[#This Row],[Margin votes 2021]]/winners_21___26[[#This Row],[Total votes 2021.Sum of votes]]</f>
        <v>0.12503339000801361</v>
      </c>
      <c r="W196" s="3">
        <f>(winners_21___26[[#This Row],[Margin votes 2026]]/winners_21___26[[#This Row],[Total votes 2026.Sum of votes]])*100</f>
        <v>16.265569586559465</v>
      </c>
      <c r="X196" t="str">
        <f>IF(winners_21___26[[#This Row],[winners 2021.party]]=winners_21___26[[#This Row],[winners 2026.party]],"Retained","Flipped")</f>
        <v>Flipped</v>
      </c>
    </row>
    <row r="197" spans="1:24" x14ac:dyDescent="0.3">
      <c r="A197" s="1" t="s">
        <v>616</v>
      </c>
      <c r="B197">
        <v>196</v>
      </c>
      <c r="C197" s="1" t="s">
        <v>617</v>
      </c>
      <c r="D197" s="1" t="s">
        <v>27</v>
      </c>
      <c r="E197">
        <v>100338</v>
      </c>
      <c r="F197" s="1" t="s">
        <v>618</v>
      </c>
      <c r="G197" s="1" t="s">
        <v>13</v>
      </c>
      <c r="H197">
        <v>88291</v>
      </c>
      <c r="I197" s="1" t="s">
        <v>594</v>
      </c>
      <c r="J197" s="1" t="s">
        <v>411</v>
      </c>
      <c r="K197" s="1" t="s">
        <v>18</v>
      </c>
      <c r="L197" s="1" t="s">
        <v>1118</v>
      </c>
      <c r="M197" s="1" t="s">
        <v>13</v>
      </c>
      <c r="N197">
        <v>86251</v>
      </c>
      <c r="O197" s="1" t="s">
        <v>1119</v>
      </c>
      <c r="P197" s="1" t="s">
        <v>27</v>
      </c>
      <c r="Q197">
        <v>64484</v>
      </c>
      <c r="R197">
        <f>winners_21___26[[#This Row],[winners 2021.votes]]-winners_21___26[[#This Row],[runner up 2021.votes]]</f>
        <v>14087</v>
      </c>
      <c r="S197">
        <f>winners_21___26[[#This Row],[winners 2026.votes]]-winners_21___26[[#This Row],[runner up 2026.votes]]</f>
        <v>23807</v>
      </c>
      <c r="T197">
        <v>220495</v>
      </c>
      <c r="U197">
        <v>230980</v>
      </c>
      <c r="V197" s="2">
        <f>winners_21___26[[#This Row],[Margin votes 2021]]/winners_21___26[[#This Row],[Total votes 2021.Sum of votes]]</f>
        <v>6.3888070024263582E-2</v>
      </c>
      <c r="W197" s="3">
        <f>(winners_21___26[[#This Row],[Margin votes 2026]]/winners_21___26[[#This Row],[Total votes 2026.Sum of votes]])*100</f>
        <v>10.306952982942246</v>
      </c>
      <c r="X197" t="str">
        <f>IF(winners_21___26[[#This Row],[winners 2021.party]]=winners_21___26[[#This Row],[winners 2026.party]],"Retained","Flipped")</f>
        <v>Flipped</v>
      </c>
    </row>
    <row r="198" spans="1:24" x14ac:dyDescent="0.3">
      <c r="A198" s="1" t="s">
        <v>619</v>
      </c>
      <c r="B198">
        <v>197</v>
      </c>
      <c r="C198" s="1" t="s">
        <v>620</v>
      </c>
      <c r="D198" s="1" t="s">
        <v>27</v>
      </c>
      <c r="E198">
        <v>71255</v>
      </c>
      <c r="F198" s="1" t="s">
        <v>621</v>
      </c>
      <c r="G198" s="1" t="s">
        <v>15</v>
      </c>
      <c r="H198">
        <v>65743</v>
      </c>
      <c r="I198" s="1" t="s">
        <v>594</v>
      </c>
      <c r="J198" s="1" t="s">
        <v>411</v>
      </c>
      <c r="K198" s="1" t="s">
        <v>18</v>
      </c>
      <c r="L198" s="1" t="s">
        <v>1120</v>
      </c>
      <c r="M198" s="1" t="s">
        <v>13</v>
      </c>
      <c r="N198">
        <v>63778</v>
      </c>
      <c r="O198" s="1" t="s">
        <v>1121</v>
      </c>
      <c r="P198" s="1" t="s">
        <v>27</v>
      </c>
      <c r="Q198">
        <v>63938</v>
      </c>
      <c r="R198">
        <f>winners_21___26[[#This Row],[winners 2021.votes]]-winners_21___26[[#This Row],[runner up 2021.votes]]</f>
        <v>7477</v>
      </c>
      <c r="S198">
        <f>winners_21___26[[#This Row],[winners 2026.votes]]-winners_21___26[[#This Row],[runner up 2026.votes]]</f>
        <v>1805</v>
      </c>
      <c r="T198">
        <v>212513</v>
      </c>
      <c r="U198">
        <v>224048</v>
      </c>
      <c r="V198" s="2">
        <f>winners_21___26[[#This Row],[Margin votes 2021]]/winners_21___26[[#This Row],[Total votes 2021.Sum of votes]]</f>
        <v>3.5183729936521531E-2</v>
      </c>
      <c r="W198" s="3">
        <f>(winners_21___26[[#This Row],[Margin votes 2026]]/winners_21___26[[#This Row],[Total votes 2026.Sum of votes]])*100</f>
        <v>0.80563093622795112</v>
      </c>
      <c r="X198" t="str">
        <f>IF(winners_21___26[[#This Row],[winners 2021.party]]=winners_21___26[[#This Row],[winners 2026.party]],"Retained","Flipped")</f>
        <v>Flipped</v>
      </c>
    </row>
    <row r="199" spans="1:24" x14ac:dyDescent="0.3">
      <c r="A199" s="1" t="s">
        <v>622</v>
      </c>
      <c r="B199">
        <v>198</v>
      </c>
      <c r="C199" s="1" t="s">
        <v>623</v>
      </c>
      <c r="D199" s="1" t="s">
        <v>13</v>
      </c>
      <c r="E199">
        <v>93541</v>
      </c>
      <c r="F199" s="1" t="s">
        <v>624</v>
      </c>
      <c r="G199" s="1" t="s">
        <v>13</v>
      </c>
      <c r="H199">
        <v>74324</v>
      </c>
      <c r="I199" s="1" t="s">
        <v>625</v>
      </c>
      <c r="J199" s="1" t="s">
        <v>411</v>
      </c>
      <c r="K199" s="1" t="s">
        <v>18</v>
      </c>
      <c r="L199" s="1" t="s">
        <v>1122</v>
      </c>
      <c r="M199" s="1" t="s">
        <v>27</v>
      </c>
      <c r="N199">
        <v>85003</v>
      </c>
      <c r="O199" s="1" t="s">
        <v>1123</v>
      </c>
      <c r="P199" s="1" t="s">
        <v>15</v>
      </c>
      <c r="Q199">
        <v>64770</v>
      </c>
      <c r="R199">
        <f>winners_21___26[[#This Row],[winners 2021.votes]]-winners_21___26[[#This Row],[runner up 2021.votes]]</f>
        <v>8538</v>
      </c>
      <c r="S199">
        <f>winners_21___26[[#This Row],[winners 2026.votes]]-winners_21___26[[#This Row],[runner up 2026.votes]]</f>
        <v>9554</v>
      </c>
      <c r="T199">
        <v>209540</v>
      </c>
      <c r="U199">
        <v>217329</v>
      </c>
      <c r="V199" s="2">
        <f>winners_21___26[[#This Row],[Margin votes 2021]]/winners_21___26[[#This Row],[Total votes 2021.Sum of votes]]</f>
        <v>4.0746396869332825E-2</v>
      </c>
      <c r="W199" s="3">
        <f>(winners_21___26[[#This Row],[Margin votes 2026]]/winners_21___26[[#This Row],[Total votes 2026.Sum of votes]])*100</f>
        <v>4.3960999222377133</v>
      </c>
      <c r="X199" t="str">
        <f>IF(winners_21___26[[#This Row],[winners 2021.party]]=winners_21___26[[#This Row],[winners 2026.party]],"Retained","Flipped")</f>
        <v>Retained</v>
      </c>
    </row>
    <row r="200" spans="1:24" x14ac:dyDescent="0.3">
      <c r="A200" s="1" t="s">
        <v>626</v>
      </c>
      <c r="B200">
        <v>199</v>
      </c>
      <c r="C200" s="1" t="s">
        <v>627</v>
      </c>
      <c r="D200" s="1" t="s">
        <v>13</v>
      </c>
      <c r="E200">
        <v>92251</v>
      </c>
      <c r="F200" s="1" t="s">
        <v>628</v>
      </c>
      <c r="G200" s="1" t="s">
        <v>15</v>
      </c>
      <c r="H200">
        <v>85656</v>
      </c>
      <c r="I200" s="1" t="s">
        <v>625</v>
      </c>
      <c r="J200" s="1" t="s">
        <v>411</v>
      </c>
      <c r="K200" s="1" t="s">
        <v>23</v>
      </c>
      <c r="L200" s="1" t="s">
        <v>1124</v>
      </c>
      <c r="M200" s="1" t="s">
        <v>27</v>
      </c>
      <c r="N200">
        <v>70930</v>
      </c>
      <c r="O200" s="1" t="s">
        <v>1125</v>
      </c>
      <c r="P200" s="1" t="s">
        <v>118</v>
      </c>
      <c r="Q200">
        <v>66335</v>
      </c>
      <c r="R200">
        <f>winners_21___26[[#This Row],[winners 2021.votes]]-winners_21___26[[#This Row],[runner up 2021.votes]]</f>
        <v>21321</v>
      </c>
      <c r="S200">
        <f>winners_21___26[[#This Row],[winners 2026.votes]]-winners_21___26[[#This Row],[runner up 2026.votes]]</f>
        <v>19321</v>
      </c>
      <c r="T200">
        <v>201797</v>
      </c>
      <c r="U200">
        <v>211209</v>
      </c>
      <c r="V200" s="2">
        <f>winners_21___26[[#This Row],[Margin votes 2021]]/winners_21___26[[#This Row],[Total votes 2021.Sum of votes]]</f>
        <v>0.10565568368211618</v>
      </c>
      <c r="W200" s="3">
        <f>(winners_21___26[[#This Row],[Margin votes 2026]]/winners_21___26[[#This Row],[Total votes 2026.Sum of votes]])*100</f>
        <v>9.147810936087005</v>
      </c>
      <c r="X200" t="str">
        <f>IF(winners_21___26[[#This Row],[winners 2021.party]]=winners_21___26[[#This Row],[winners 2026.party]],"Retained","Flipped")</f>
        <v>Flipped</v>
      </c>
    </row>
    <row r="201" spans="1:24" x14ac:dyDescent="0.3">
      <c r="A201" s="1" t="s">
        <v>629</v>
      </c>
      <c r="B201">
        <v>200</v>
      </c>
      <c r="C201" s="1" t="s">
        <v>630</v>
      </c>
      <c r="D201" s="1" t="s">
        <v>27</v>
      </c>
      <c r="E201">
        <v>100050</v>
      </c>
      <c r="F201" s="1" t="s">
        <v>631</v>
      </c>
      <c r="G201" s="1" t="s">
        <v>13</v>
      </c>
      <c r="H201">
        <v>85206</v>
      </c>
      <c r="I201" s="1" t="s">
        <v>625</v>
      </c>
      <c r="J201" s="1" t="s">
        <v>411</v>
      </c>
      <c r="K201" s="1" t="s">
        <v>18</v>
      </c>
      <c r="L201" s="1" t="s">
        <v>1126</v>
      </c>
      <c r="M201" s="1" t="s">
        <v>13</v>
      </c>
      <c r="N201">
        <v>89029</v>
      </c>
      <c r="O201" s="1" t="s">
        <v>1127</v>
      </c>
      <c r="P201" s="1" t="s">
        <v>15</v>
      </c>
      <c r="Q201">
        <v>78401</v>
      </c>
      <c r="R201">
        <f>winners_21___26[[#This Row],[winners 2021.votes]]-winners_21___26[[#This Row],[runner up 2021.votes]]</f>
        <v>11021</v>
      </c>
      <c r="S201">
        <f>winners_21___26[[#This Row],[winners 2026.votes]]-winners_21___26[[#This Row],[runner up 2026.votes]]</f>
        <v>6805</v>
      </c>
      <c r="T201">
        <v>214795</v>
      </c>
      <c r="U201">
        <v>220628</v>
      </c>
      <c r="V201" s="2">
        <f>winners_21___26[[#This Row],[Margin votes 2021]]/winners_21___26[[#This Row],[Total votes 2021.Sum of votes]]</f>
        <v>5.130938802113643E-2</v>
      </c>
      <c r="W201" s="3">
        <f>(winners_21___26[[#This Row],[Margin votes 2026]]/winners_21___26[[#This Row],[Total votes 2026.Sum of votes]])*100</f>
        <v>3.0843773229145892</v>
      </c>
      <c r="X201" t="str">
        <f>IF(winners_21___26[[#This Row],[winners 2021.party]]=winners_21___26[[#This Row],[winners 2026.party]],"Retained","Flipped")</f>
        <v>Flipped</v>
      </c>
    </row>
    <row r="202" spans="1:24" x14ac:dyDescent="0.3">
      <c r="A202" s="1" t="s">
        <v>632</v>
      </c>
      <c r="B202">
        <v>201</v>
      </c>
      <c r="C202" s="1" t="s">
        <v>633</v>
      </c>
      <c r="D202" s="1" t="s">
        <v>13</v>
      </c>
      <c r="E202">
        <v>104800</v>
      </c>
      <c r="F202" s="1" t="s">
        <v>634</v>
      </c>
      <c r="G202" s="1" t="s">
        <v>15</v>
      </c>
      <c r="H202">
        <v>85394</v>
      </c>
      <c r="I202" s="1" t="s">
        <v>625</v>
      </c>
      <c r="J202" s="1" t="s">
        <v>411</v>
      </c>
      <c r="K202" s="1" t="s">
        <v>18</v>
      </c>
      <c r="L202" s="1" t="s">
        <v>1128</v>
      </c>
      <c r="M202" s="1" t="s">
        <v>27</v>
      </c>
      <c r="N202">
        <v>62387</v>
      </c>
      <c r="O202" s="1" t="s">
        <v>1129</v>
      </c>
      <c r="P202" s="1" t="s">
        <v>13</v>
      </c>
      <c r="Q202">
        <v>84643</v>
      </c>
      <c r="R202">
        <f>winners_21___26[[#This Row],[winners 2021.votes]]-winners_21___26[[#This Row],[runner up 2021.votes]]</f>
        <v>42413</v>
      </c>
      <c r="S202">
        <f>winners_21___26[[#This Row],[winners 2026.votes]]-winners_21___26[[#This Row],[runner up 2026.votes]]</f>
        <v>751</v>
      </c>
      <c r="T202">
        <v>202275</v>
      </c>
      <c r="U202">
        <v>210574</v>
      </c>
      <c r="V202" s="2">
        <f>winners_21___26[[#This Row],[Margin votes 2021]]/winners_21___26[[#This Row],[Total votes 2021.Sum of votes]]</f>
        <v>0.20967989123717712</v>
      </c>
      <c r="W202" s="3">
        <f>(winners_21___26[[#This Row],[Margin votes 2026]]/winners_21___26[[#This Row],[Total votes 2026.Sum of votes]])*100</f>
        <v>0.35664422008415092</v>
      </c>
      <c r="X202" t="str">
        <f>IF(winners_21___26[[#This Row],[winners 2021.party]]=winners_21___26[[#This Row],[winners 2026.party]],"Retained","Flipped")</f>
        <v>Flipped</v>
      </c>
    </row>
    <row r="203" spans="1:24" x14ac:dyDescent="0.3">
      <c r="A203" s="1" t="s">
        <v>635</v>
      </c>
      <c r="B203">
        <v>202</v>
      </c>
      <c r="C203" s="1" t="s">
        <v>636</v>
      </c>
      <c r="D203" s="1" t="s">
        <v>13</v>
      </c>
      <c r="E203">
        <v>74158</v>
      </c>
      <c r="F203" s="1" t="s">
        <v>637</v>
      </c>
      <c r="G203" s="1" t="s">
        <v>15</v>
      </c>
      <c r="H203">
        <v>65548</v>
      </c>
      <c r="I203" s="1" t="s">
        <v>638</v>
      </c>
      <c r="J203" s="1" t="s">
        <v>411</v>
      </c>
      <c r="K203" s="1" t="s">
        <v>18</v>
      </c>
      <c r="L203" s="1" t="s">
        <v>1130</v>
      </c>
      <c r="M203" s="1" t="s">
        <v>27</v>
      </c>
      <c r="N203">
        <v>70260</v>
      </c>
      <c r="O203" s="1" t="s">
        <v>1131</v>
      </c>
      <c r="P203" s="1" t="s">
        <v>13</v>
      </c>
      <c r="Q203">
        <v>54943</v>
      </c>
      <c r="R203">
        <f>winners_21___26[[#This Row],[winners 2021.votes]]-winners_21___26[[#This Row],[runner up 2021.votes]]</f>
        <v>3898</v>
      </c>
      <c r="S203">
        <f>winners_21___26[[#This Row],[winners 2026.votes]]-winners_21___26[[#This Row],[runner up 2026.votes]]</f>
        <v>10605</v>
      </c>
      <c r="T203">
        <v>178708</v>
      </c>
      <c r="U203">
        <v>183020</v>
      </c>
      <c r="V203" s="2">
        <f>winners_21___26[[#This Row],[Margin votes 2021]]/winners_21___26[[#This Row],[Total votes 2021.Sum of votes]]</f>
        <v>2.1812118092083176E-2</v>
      </c>
      <c r="W203" s="3">
        <f>(winners_21___26[[#This Row],[Margin votes 2026]]/winners_21___26[[#This Row],[Total votes 2026.Sum of votes]])*100</f>
        <v>5.7944486941317885</v>
      </c>
      <c r="X203" t="str">
        <f>IF(winners_21___26[[#This Row],[winners 2021.party]]=winners_21___26[[#This Row],[winners 2026.party]],"Retained","Flipped")</f>
        <v>Flipped</v>
      </c>
    </row>
    <row r="204" spans="1:24" x14ac:dyDescent="0.3">
      <c r="A204" s="1" t="s">
        <v>639</v>
      </c>
      <c r="B204">
        <v>203</v>
      </c>
      <c r="C204" s="1" t="s">
        <v>640</v>
      </c>
      <c r="D204" s="1" t="s">
        <v>27</v>
      </c>
      <c r="E204">
        <v>70475</v>
      </c>
      <c r="F204" s="1" t="s">
        <v>641</v>
      </c>
      <c r="G204" s="1" t="s">
        <v>15</v>
      </c>
      <c r="H204">
        <v>65653</v>
      </c>
      <c r="I204" s="1" t="s">
        <v>638</v>
      </c>
      <c r="J204" s="1" t="s">
        <v>411</v>
      </c>
      <c r="K204" s="1" t="s">
        <v>23</v>
      </c>
      <c r="L204" s="1" t="s">
        <v>1132</v>
      </c>
      <c r="M204" s="1" t="s">
        <v>21</v>
      </c>
      <c r="N204">
        <v>57737</v>
      </c>
      <c r="O204" s="1" t="s">
        <v>1133</v>
      </c>
      <c r="P204" s="1" t="s">
        <v>190</v>
      </c>
      <c r="Q204">
        <v>57072</v>
      </c>
      <c r="R204">
        <f>winners_21___26[[#This Row],[winners 2021.votes]]-winners_21___26[[#This Row],[runner up 2021.votes]]</f>
        <v>12738</v>
      </c>
      <c r="S204">
        <f>winners_21___26[[#This Row],[winners 2026.votes]]-winners_21___26[[#This Row],[runner up 2026.votes]]</f>
        <v>8581</v>
      </c>
      <c r="T204">
        <v>185039</v>
      </c>
      <c r="U204">
        <v>193471</v>
      </c>
      <c r="V204" s="2">
        <f>winners_21___26[[#This Row],[Margin votes 2021]]/winners_21___26[[#This Row],[Total votes 2021.Sum of votes]]</f>
        <v>6.8839541934403017E-2</v>
      </c>
      <c r="W204" s="3">
        <f>(winners_21___26[[#This Row],[Margin votes 2026]]/winners_21___26[[#This Row],[Total votes 2026.Sum of votes]])*100</f>
        <v>4.4352900434690472</v>
      </c>
      <c r="X204" t="str">
        <f>IF(winners_21___26[[#This Row],[winners 2021.party]]=winners_21___26[[#This Row],[winners 2026.party]],"Retained","Flipped")</f>
        <v>Flipped</v>
      </c>
    </row>
    <row r="205" spans="1:24" x14ac:dyDescent="0.3">
      <c r="A205" s="1" t="s">
        <v>642</v>
      </c>
      <c r="B205">
        <v>204</v>
      </c>
      <c r="C205" s="1" t="s">
        <v>643</v>
      </c>
      <c r="D205" s="1" t="s">
        <v>13</v>
      </c>
      <c r="E205">
        <v>74174</v>
      </c>
      <c r="F205" s="1" t="s">
        <v>644</v>
      </c>
      <c r="G205" s="1" t="s">
        <v>13</v>
      </c>
      <c r="H205">
        <v>62060</v>
      </c>
      <c r="I205" s="1" t="s">
        <v>638</v>
      </c>
      <c r="J205" s="1" t="s">
        <v>411</v>
      </c>
      <c r="K205" s="1" t="s">
        <v>18</v>
      </c>
      <c r="L205" s="1" t="s">
        <v>1134</v>
      </c>
      <c r="M205" s="1" t="s">
        <v>27</v>
      </c>
      <c r="N205">
        <v>62995</v>
      </c>
      <c r="O205" s="1" t="s">
        <v>1135</v>
      </c>
      <c r="P205" s="1" t="s">
        <v>324</v>
      </c>
      <c r="Q205">
        <v>56071</v>
      </c>
      <c r="R205">
        <f>winners_21___26[[#This Row],[winners 2021.votes]]-winners_21___26[[#This Row],[runner up 2021.votes]]</f>
        <v>11179</v>
      </c>
      <c r="S205">
        <f>winners_21___26[[#This Row],[winners 2026.votes]]-winners_21___26[[#This Row],[runner up 2026.votes]]</f>
        <v>5989</v>
      </c>
      <c r="T205">
        <v>191783</v>
      </c>
      <c r="U205">
        <v>198734</v>
      </c>
      <c r="V205" s="2">
        <f>winners_21___26[[#This Row],[Margin votes 2021]]/winners_21___26[[#This Row],[Total votes 2021.Sum of votes]]</f>
        <v>5.8289837993982782E-2</v>
      </c>
      <c r="W205" s="3">
        <f>(winners_21___26[[#This Row],[Margin votes 2026]]/winners_21___26[[#This Row],[Total votes 2026.Sum of votes]])*100</f>
        <v>3.0135759356728089</v>
      </c>
      <c r="X205" t="str">
        <f>IF(winners_21___26[[#This Row],[winners 2021.party]]=winners_21___26[[#This Row],[winners 2026.party]],"Retained","Flipped")</f>
        <v>Retained</v>
      </c>
    </row>
    <row r="206" spans="1:24" x14ac:dyDescent="0.3">
      <c r="A206" s="1" t="s">
        <v>645</v>
      </c>
      <c r="B206">
        <v>205</v>
      </c>
      <c r="C206" s="1" t="s">
        <v>646</v>
      </c>
      <c r="D206" s="1" t="s">
        <v>21</v>
      </c>
      <c r="E206">
        <v>78947</v>
      </c>
      <c r="F206" s="1" t="s">
        <v>647</v>
      </c>
      <c r="G206" s="1" t="s">
        <v>15</v>
      </c>
      <c r="H206">
        <v>68709</v>
      </c>
      <c r="I206" s="1" t="s">
        <v>638</v>
      </c>
      <c r="J206" s="1" t="s">
        <v>411</v>
      </c>
      <c r="K206" s="1" t="s">
        <v>18</v>
      </c>
      <c r="L206" s="1" t="s">
        <v>1136</v>
      </c>
      <c r="M206" s="1" t="s">
        <v>27</v>
      </c>
      <c r="N206">
        <v>61628</v>
      </c>
      <c r="O206" s="1" t="s">
        <v>1137</v>
      </c>
      <c r="P206" s="1" t="s">
        <v>21</v>
      </c>
      <c r="Q206">
        <v>57039</v>
      </c>
      <c r="R206">
        <f>winners_21___26[[#This Row],[winners 2021.votes]]-winners_21___26[[#This Row],[runner up 2021.votes]]</f>
        <v>17319</v>
      </c>
      <c r="S206">
        <f>winners_21___26[[#This Row],[winners 2026.votes]]-winners_21___26[[#This Row],[runner up 2026.votes]]</f>
        <v>11670</v>
      </c>
      <c r="T206">
        <v>185047</v>
      </c>
      <c r="U206">
        <v>193517</v>
      </c>
      <c r="V206" s="2">
        <f>winners_21___26[[#This Row],[Margin votes 2021]]/winners_21___26[[#This Row],[Total votes 2021.Sum of votes]]</f>
        <v>9.3592438677741335E-2</v>
      </c>
      <c r="W206" s="3">
        <f>(winners_21___26[[#This Row],[Margin votes 2026]]/winners_21___26[[#This Row],[Total votes 2026.Sum of votes]])*100</f>
        <v>6.0304779425063435</v>
      </c>
      <c r="X206" t="str">
        <f>IF(winners_21___26[[#This Row],[winners 2021.party]]=winners_21___26[[#This Row],[winners 2026.party]],"Retained","Flipped")</f>
        <v>Flipped</v>
      </c>
    </row>
    <row r="207" spans="1:24" x14ac:dyDescent="0.3">
      <c r="A207" s="1" t="s">
        <v>638</v>
      </c>
      <c r="B207">
        <v>206</v>
      </c>
      <c r="C207" s="1" t="s">
        <v>648</v>
      </c>
      <c r="D207" s="1" t="s">
        <v>13</v>
      </c>
      <c r="E207">
        <v>73297</v>
      </c>
      <c r="F207" s="1" t="s">
        <v>649</v>
      </c>
      <c r="G207" s="1" t="s">
        <v>15</v>
      </c>
      <c r="H207">
        <v>63653</v>
      </c>
      <c r="I207" s="1" t="s">
        <v>638</v>
      </c>
      <c r="J207" s="1" t="s">
        <v>411</v>
      </c>
      <c r="K207" s="1" t="s">
        <v>18</v>
      </c>
      <c r="L207" s="1" t="s">
        <v>1138</v>
      </c>
      <c r="M207" s="1" t="s">
        <v>324</v>
      </c>
      <c r="N207">
        <v>51958</v>
      </c>
      <c r="O207" s="1" t="s">
        <v>1139</v>
      </c>
      <c r="P207" s="1" t="s">
        <v>486</v>
      </c>
      <c r="Q207">
        <v>54262</v>
      </c>
      <c r="R207">
        <f>winners_21___26[[#This Row],[winners 2021.votes]]-winners_21___26[[#This Row],[runner up 2021.votes]]</f>
        <v>21339</v>
      </c>
      <c r="S207">
        <f>winners_21___26[[#This Row],[winners 2026.votes]]-winners_21___26[[#This Row],[runner up 2026.votes]]</f>
        <v>9391</v>
      </c>
      <c r="T207">
        <v>161717</v>
      </c>
      <c r="U207">
        <v>167832</v>
      </c>
      <c r="V207" s="2">
        <f>winners_21___26[[#This Row],[Margin votes 2021]]/winners_21___26[[#This Row],[Total votes 2021.Sum of votes]]</f>
        <v>0.13195273224212667</v>
      </c>
      <c r="W207" s="3">
        <f>(winners_21___26[[#This Row],[Margin votes 2026]]/winners_21___26[[#This Row],[Total votes 2026.Sum of votes]])*100</f>
        <v>5.5954764288097616</v>
      </c>
      <c r="X207" t="str">
        <f>IF(winners_21___26[[#This Row],[winners 2021.party]]=winners_21___26[[#This Row],[winners 2026.party]],"Retained","Flipped")</f>
        <v>Flipped</v>
      </c>
    </row>
    <row r="208" spans="1:24" x14ac:dyDescent="0.3">
      <c r="A208" s="1" t="s">
        <v>650</v>
      </c>
      <c r="B208">
        <v>207</v>
      </c>
      <c r="C208" s="1" t="s">
        <v>651</v>
      </c>
      <c r="D208" s="1" t="s">
        <v>13</v>
      </c>
      <c r="E208">
        <v>91040</v>
      </c>
      <c r="F208" s="1" t="s">
        <v>652</v>
      </c>
      <c r="G208" s="1" t="s">
        <v>13</v>
      </c>
      <c r="H208">
        <v>65104</v>
      </c>
      <c r="I208" s="1" t="s">
        <v>638</v>
      </c>
      <c r="J208" s="1" t="s">
        <v>411</v>
      </c>
      <c r="K208" s="1" t="s">
        <v>18</v>
      </c>
      <c r="L208" s="1" t="s">
        <v>1140</v>
      </c>
      <c r="M208" s="1" t="s">
        <v>27</v>
      </c>
      <c r="N208">
        <v>52006</v>
      </c>
      <c r="O208" s="1" t="s">
        <v>1141</v>
      </c>
      <c r="P208" s="1" t="s">
        <v>15</v>
      </c>
      <c r="Q208">
        <v>60161</v>
      </c>
      <c r="R208">
        <f>winners_21___26[[#This Row],[winners 2021.votes]]-winners_21___26[[#This Row],[runner up 2021.votes]]</f>
        <v>39034</v>
      </c>
      <c r="S208">
        <f>winners_21___26[[#This Row],[winners 2026.votes]]-winners_21___26[[#This Row],[runner up 2026.votes]]</f>
        <v>4943</v>
      </c>
      <c r="T208">
        <v>171201</v>
      </c>
      <c r="U208">
        <v>178413</v>
      </c>
      <c r="V208" s="2">
        <f>winners_21___26[[#This Row],[Margin votes 2021]]/winners_21___26[[#This Row],[Total votes 2021.Sum of votes]]</f>
        <v>0.2280010046670288</v>
      </c>
      <c r="W208" s="3">
        <f>(winners_21___26[[#This Row],[Margin votes 2026]]/winners_21___26[[#This Row],[Total votes 2026.Sum of votes]])*100</f>
        <v>2.7705380213325261</v>
      </c>
      <c r="X208" t="str">
        <f>IF(winners_21___26[[#This Row],[winners 2021.party]]=winners_21___26[[#This Row],[winners 2026.party]],"Retained","Flipped")</f>
        <v>Retained</v>
      </c>
    </row>
    <row r="209" spans="1:24" x14ac:dyDescent="0.3">
      <c r="A209" s="1" t="s">
        <v>653</v>
      </c>
      <c r="B209">
        <v>208</v>
      </c>
      <c r="C209" s="1" t="s">
        <v>654</v>
      </c>
      <c r="D209" s="1" t="s">
        <v>13</v>
      </c>
      <c r="E209">
        <v>102225</v>
      </c>
      <c r="F209" s="1" t="s">
        <v>654</v>
      </c>
      <c r="G209" s="1" t="s">
        <v>13</v>
      </c>
      <c r="H209">
        <v>75085</v>
      </c>
      <c r="I209" s="1" t="s">
        <v>638</v>
      </c>
      <c r="J209" s="1" t="s">
        <v>411</v>
      </c>
      <c r="K209" s="1" t="s">
        <v>18</v>
      </c>
      <c r="L209" s="1" t="s">
        <v>1142</v>
      </c>
      <c r="M209" s="1" t="s">
        <v>27</v>
      </c>
      <c r="N209">
        <v>41233</v>
      </c>
      <c r="O209" s="1" t="s">
        <v>1143</v>
      </c>
      <c r="P209" s="1" t="s">
        <v>15</v>
      </c>
      <c r="Q209">
        <v>61600</v>
      </c>
      <c r="R209">
        <f>winners_21___26[[#This Row],[winners 2021.votes]]-winners_21___26[[#This Row],[runner up 2021.votes]]</f>
        <v>60992</v>
      </c>
      <c r="S209">
        <f>winners_21___26[[#This Row],[winners 2026.votes]]-winners_21___26[[#This Row],[runner up 2026.votes]]</f>
        <v>13485</v>
      </c>
      <c r="T209">
        <v>172811</v>
      </c>
      <c r="U209">
        <v>181250</v>
      </c>
      <c r="V209" s="2">
        <f>winners_21___26[[#This Row],[Margin votes 2021]]/winners_21___26[[#This Row],[Total votes 2021.Sum of votes]]</f>
        <v>0.35294049568603852</v>
      </c>
      <c r="W209" s="3">
        <f>(winners_21___26[[#This Row],[Margin votes 2026]]/winners_21___26[[#This Row],[Total votes 2026.Sum of votes]])*100</f>
        <v>7.4399999999999995</v>
      </c>
      <c r="X209" t="str">
        <f>IF(winners_21___26[[#This Row],[winners 2021.party]]=winners_21___26[[#This Row],[winners 2026.party]],"Retained","Flipped")</f>
        <v>Retained</v>
      </c>
    </row>
    <row r="210" spans="1:24" x14ac:dyDescent="0.3">
      <c r="A210" s="1" t="s">
        <v>655</v>
      </c>
      <c r="B210">
        <v>209</v>
      </c>
      <c r="C210" s="1" t="s">
        <v>656</v>
      </c>
      <c r="D210" s="1" t="s">
        <v>13</v>
      </c>
      <c r="E210">
        <v>84864</v>
      </c>
      <c r="F210" s="1" t="s">
        <v>657</v>
      </c>
      <c r="G210" s="1" t="s">
        <v>13</v>
      </c>
      <c r="H210">
        <v>59161</v>
      </c>
      <c r="I210" s="1" t="s">
        <v>658</v>
      </c>
      <c r="J210" s="1" t="s">
        <v>411</v>
      </c>
      <c r="K210" s="1" t="s">
        <v>23</v>
      </c>
      <c r="L210" s="1" t="s">
        <v>1144</v>
      </c>
      <c r="M210" s="1" t="s">
        <v>27</v>
      </c>
      <c r="N210">
        <v>71579</v>
      </c>
      <c r="O210" s="1" t="s">
        <v>1145</v>
      </c>
      <c r="P210" s="1" t="s">
        <v>15</v>
      </c>
      <c r="Q210">
        <v>55613</v>
      </c>
      <c r="R210">
        <f>winners_21___26[[#This Row],[winners 2021.votes]]-winners_21___26[[#This Row],[runner up 2021.votes]]</f>
        <v>13285</v>
      </c>
      <c r="S210">
        <f>winners_21___26[[#This Row],[winners 2026.votes]]-winners_21___26[[#This Row],[runner up 2026.votes]]</f>
        <v>3548</v>
      </c>
      <c r="T210">
        <v>182158</v>
      </c>
      <c r="U210">
        <v>189753</v>
      </c>
      <c r="V210" s="2">
        <f>winners_21___26[[#This Row],[Margin votes 2021]]/winners_21___26[[#This Row],[Total votes 2021.Sum of votes]]</f>
        <v>7.2931191602894185E-2</v>
      </c>
      <c r="W210" s="3">
        <f>(winners_21___26[[#This Row],[Margin votes 2026]]/winners_21___26[[#This Row],[Total votes 2026.Sum of votes]])*100</f>
        <v>1.8697991599605803</v>
      </c>
      <c r="X210" t="str">
        <f>IF(winners_21___26[[#This Row],[winners 2021.party]]=winners_21___26[[#This Row],[winners 2026.party]],"Retained","Flipped")</f>
        <v>Retained</v>
      </c>
    </row>
    <row r="211" spans="1:24" x14ac:dyDescent="0.3">
      <c r="A211" s="1" t="s">
        <v>659</v>
      </c>
      <c r="B211">
        <v>210</v>
      </c>
      <c r="C211" s="1" t="s">
        <v>660</v>
      </c>
      <c r="D211" s="1" t="s">
        <v>21</v>
      </c>
      <c r="E211">
        <v>79364</v>
      </c>
      <c r="F211" s="1" t="s">
        <v>661</v>
      </c>
      <c r="G211" s="1" t="s">
        <v>15</v>
      </c>
      <c r="H211">
        <v>69551</v>
      </c>
      <c r="I211" s="1" t="s">
        <v>658</v>
      </c>
      <c r="J211" s="1" t="s">
        <v>411</v>
      </c>
      <c r="K211" s="1" t="s">
        <v>18</v>
      </c>
      <c r="L211" s="1" t="s">
        <v>1146</v>
      </c>
      <c r="M211" s="1" t="s">
        <v>27</v>
      </c>
      <c r="N211">
        <v>65512</v>
      </c>
      <c r="O211" s="1" t="s">
        <v>1147</v>
      </c>
      <c r="P211" s="1" t="s">
        <v>21</v>
      </c>
      <c r="Q211">
        <v>67038</v>
      </c>
      <c r="R211">
        <f>winners_21___26[[#This Row],[winners 2021.votes]]-winners_21___26[[#This Row],[runner up 2021.votes]]</f>
        <v>13852</v>
      </c>
      <c r="S211">
        <f>winners_21___26[[#This Row],[winners 2026.votes]]-winners_21___26[[#This Row],[runner up 2026.votes]]</f>
        <v>2513</v>
      </c>
      <c r="T211">
        <v>201815</v>
      </c>
      <c r="U211">
        <v>220278</v>
      </c>
      <c r="V211" s="2">
        <f>winners_21___26[[#This Row],[Margin votes 2021]]/winners_21___26[[#This Row],[Total votes 2021.Sum of votes]]</f>
        <v>6.8637118152763674E-2</v>
      </c>
      <c r="W211" s="3">
        <f>(winners_21___26[[#This Row],[Margin votes 2026]]/winners_21___26[[#This Row],[Total votes 2026.Sum of votes]])*100</f>
        <v>1.140831131570107</v>
      </c>
      <c r="X211" t="str">
        <f>IF(winners_21___26[[#This Row],[winners 2021.party]]=winners_21___26[[#This Row],[winners 2026.party]],"Retained","Flipped")</f>
        <v>Flipped</v>
      </c>
    </row>
    <row r="212" spans="1:24" x14ac:dyDescent="0.3">
      <c r="A212" s="1" t="s">
        <v>658</v>
      </c>
      <c r="B212">
        <v>211</v>
      </c>
      <c r="C212" s="1" t="s">
        <v>662</v>
      </c>
      <c r="D212" s="1" t="s">
        <v>13</v>
      </c>
      <c r="E212">
        <v>111082</v>
      </c>
      <c r="F212" s="1" t="s">
        <v>662</v>
      </c>
      <c r="G212" s="1" t="s">
        <v>13</v>
      </c>
      <c r="H212">
        <v>89137</v>
      </c>
      <c r="I212" s="1" t="s">
        <v>658</v>
      </c>
      <c r="J212" s="1" t="s">
        <v>411</v>
      </c>
      <c r="K212" s="1" t="s">
        <v>18</v>
      </c>
      <c r="L212" s="1" t="s">
        <v>1148</v>
      </c>
      <c r="M212" s="1" t="s">
        <v>324</v>
      </c>
      <c r="N212">
        <v>60603</v>
      </c>
      <c r="O212" s="1" t="s">
        <v>1149</v>
      </c>
      <c r="P212" s="1" t="s">
        <v>15</v>
      </c>
      <c r="Q212">
        <v>76678</v>
      </c>
      <c r="R212">
        <f>winners_21___26[[#This Row],[winners 2021.votes]]-winners_21___26[[#This Row],[runner up 2021.votes]]</f>
        <v>50479</v>
      </c>
      <c r="S212">
        <f>winners_21___26[[#This Row],[winners 2026.votes]]-winners_21___26[[#This Row],[runner up 2026.votes]]</f>
        <v>12459</v>
      </c>
      <c r="T212">
        <v>214098</v>
      </c>
      <c r="U212">
        <v>237576</v>
      </c>
      <c r="V212" s="2">
        <f>winners_21___26[[#This Row],[Margin votes 2021]]/winners_21___26[[#This Row],[Total votes 2021.Sum of votes]]</f>
        <v>0.23577520574690095</v>
      </c>
      <c r="W212" s="3">
        <f>(winners_21___26[[#This Row],[Margin votes 2026]]/winners_21___26[[#This Row],[Total votes 2026.Sum of votes]])*100</f>
        <v>5.244216587534094</v>
      </c>
      <c r="X212" t="str">
        <f>IF(winners_21___26[[#This Row],[winners 2021.party]]=winners_21___26[[#This Row],[winners 2026.party]],"Retained","Flipped")</f>
        <v>Retained</v>
      </c>
    </row>
    <row r="213" spans="1:24" x14ac:dyDescent="0.3">
      <c r="A213" s="1" t="s">
        <v>663</v>
      </c>
      <c r="B213">
        <v>212</v>
      </c>
      <c r="C213" s="1" t="s">
        <v>664</v>
      </c>
      <c r="D213" s="1" t="s">
        <v>13</v>
      </c>
      <c r="E213">
        <v>101901</v>
      </c>
      <c r="F213" s="1" t="s">
        <v>664</v>
      </c>
      <c r="G213" s="1" t="s">
        <v>13</v>
      </c>
      <c r="H213">
        <v>68003</v>
      </c>
      <c r="I213" s="1" t="s">
        <v>658</v>
      </c>
      <c r="J213" s="1" t="s">
        <v>411</v>
      </c>
      <c r="K213" s="1" t="s">
        <v>18</v>
      </c>
      <c r="L213" s="1" t="s">
        <v>1150</v>
      </c>
      <c r="M213" s="1" t="s">
        <v>27</v>
      </c>
      <c r="N213">
        <v>81180</v>
      </c>
      <c r="O213" s="1" t="s">
        <v>1151</v>
      </c>
      <c r="P213" s="1" t="s">
        <v>15</v>
      </c>
      <c r="Q213">
        <v>51405</v>
      </c>
      <c r="R213">
        <f>winners_21___26[[#This Row],[winners 2021.votes]]-winners_21___26[[#This Row],[runner up 2021.votes]]</f>
        <v>20721</v>
      </c>
      <c r="S213">
        <f>winners_21___26[[#This Row],[winners 2026.votes]]-winners_21___26[[#This Row],[runner up 2026.votes]]</f>
        <v>16598</v>
      </c>
      <c r="T213">
        <v>221213</v>
      </c>
      <c r="U213">
        <v>231373</v>
      </c>
      <c r="V213" s="2">
        <f>winners_21___26[[#This Row],[Margin votes 2021]]/winners_21___26[[#This Row],[Total votes 2021.Sum of votes]]</f>
        <v>9.3669901859293983E-2</v>
      </c>
      <c r="W213" s="3">
        <f>(winners_21___26[[#This Row],[Margin votes 2026]]/winners_21___26[[#This Row],[Total votes 2026.Sum of votes]])*100</f>
        <v>7.1736978817753148</v>
      </c>
      <c r="X213" t="str">
        <f>IF(winners_21___26[[#This Row],[winners 2021.party]]=winners_21___26[[#This Row],[winners 2026.party]],"Retained","Flipped")</f>
        <v>Retained</v>
      </c>
    </row>
    <row r="214" spans="1:24" x14ac:dyDescent="0.3">
      <c r="A214" s="1" t="s">
        <v>665</v>
      </c>
      <c r="B214">
        <v>213</v>
      </c>
      <c r="C214" s="1" t="s">
        <v>666</v>
      </c>
      <c r="D214" s="1" t="s">
        <v>13</v>
      </c>
      <c r="E214">
        <v>90348</v>
      </c>
      <c r="F214" s="1" t="s">
        <v>667</v>
      </c>
      <c r="G214" s="1" t="s">
        <v>13</v>
      </c>
      <c r="H214">
        <v>58395</v>
      </c>
      <c r="I214" s="1" t="s">
        <v>668</v>
      </c>
      <c r="J214" s="1" t="s">
        <v>411</v>
      </c>
      <c r="K214" s="1" t="s">
        <v>18</v>
      </c>
      <c r="L214" s="1" t="s">
        <v>1152</v>
      </c>
      <c r="M214" s="1" t="s">
        <v>27</v>
      </c>
      <c r="N214">
        <v>51799</v>
      </c>
      <c r="O214" s="1" t="s">
        <v>1153</v>
      </c>
      <c r="P214" s="1" t="s">
        <v>15</v>
      </c>
      <c r="Q214">
        <v>50167</v>
      </c>
      <c r="R214">
        <f>winners_21___26[[#This Row],[winners 2021.votes]]-winners_21___26[[#This Row],[runner up 2021.votes]]</f>
        <v>38549</v>
      </c>
      <c r="S214">
        <f>winners_21___26[[#This Row],[winners 2026.votes]]-winners_21___26[[#This Row],[runner up 2026.votes]]</f>
        <v>8228</v>
      </c>
      <c r="T214">
        <v>167169</v>
      </c>
      <c r="U214">
        <v>174814</v>
      </c>
      <c r="V214" s="2">
        <f>winners_21___26[[#This Row],[Margin votes 2021]]/winners_21___26[[#This Row],[Total votes 2021.Sum of votes]]</f>
        <v>0.23059897469028348</v>
      </c>
      <c r="W214" s="3">
        <f>(winners_21___26[[#This Row],[Margin votes 2026]]/winners_21___26[[#This Row],[Total votes 2026.Sum of votes]])*100</f>
        <v>4.7067168533412653</v>
      </c>
      <c r="X214" t="str">
        <f>IF(winners_21___26[[#This Row],[winners 2021.party]]=winners_21___26[[#This Row],[winners 2026.party]],"Retained","Flipped")</f>
        <v>Retained</v>
      </c>
    </row>
    <row r="215" spans="1:24" x14ac:dyDescent="0.3">
      <c r="A215" s="1" t="s">
        <v>669</v>
      </c>
      <c r="B215">
        <v>214</v>
      </c>
      <c r="C215" s="1" t="s">
        <v>670</v>
      </c>
      <c r="D215" s="1" t="s">
        <v>13</v>
      </c>
      <c r="E215">
        <v>92314</v>
      </c>
      <c r="F215" s="1" t="s">
        <v>671</v>
      </c>
      <c r="G215" s="1" t="s">
        <v>15</v>
      </c>
      <c r="H215">
        <v>100536</v>
      </c>
      <c r="I215" s="1" t="s">
        <v>668</v>
      </c>
      <c r="J215" s="1" t="s">
        <v>411</v>
      </c>
      <c r="K215" s="1" t="s">
        <v>18</v>
      </c>
      <c r="L215" s="1" t="s">
        <v>1154</v>
      </c>
      <c r="M215" s="1" t="s">
        <v>27</v>
      </c>
      <c r="N215">
        <v>42004</v>
      </c>
      <c r="O215" s="1" t="s">
        <v>1155</v>
      </c>
      <c r="P215" s="1" t="s">
        <v>13</v>
      </c>
      <c r="Q215">
        <v>62805</v>
      </c>
      <c r="R215">
        <f>winners_21___26[[#This Row],[winners 2021.votes]]-winners_21___26[[#This Row],[runner up 2021.votes]]</f>
        <v>50310</v>
      </c>
      <c r="S215">
        <f>winners_21___26[[#This Row],[winners 2026.votes]]-winners_21___26[[#This Row],[runner up 2026.votes]]</f>
        <v>37731</v>
      </c>
      <c r="T215">
        <v>188407</v>
      </c>
      <c r="U215">
        <v>204712</v>
      </c>
      <c r="V215" s="2">
        <f>winners_21___26[[#This Row],[Margin votes 2021]]/winners_21___26[[#This Row],[Total votes 2021.Sum of votes]]</f>
        <v>0.26702829512703879</v>
      </c>
      <c r="W215" s="3">
        <f>(winners_21___26[[#This Row],[Margin votes 2026]]/winners_21___26[[#This Row],[Total votes 2026.Sum of votes]])*100</f>
        <v>18.431259525577396</v>
      </c>
      <c r="X215" t="str">
        <f>IF(winners_21___26[[#This Row],[winners 2021.party]]=winners_21___26[[#This Row],[winners 2026.party]],"Retained","Flipped")</f>
        <v>Flipped</v>
      </c>
    </row>
    <row r="216" spans="1:24" x14ac:dyDescent="0.3">
      <c r="A216" s="1" t="s">
        <v>672</v>
      </c>
      <c r="B216">
        <v>215</v>
      </c>
      <c r="C216" s="1" t="s">
        <v>673</v>
      </c>
      <c r="D216" s="1" t="s">
        <v>13</v>
      </c>
      <c r="E216">
        <v>88274</v>
      </c>
      <c r="F216" s="1" t="s">
        <v>674</v>
      </c>
      <c r="G216" s="1" t="s">
        <v>13</v>
      </c>
      <c r="H216">
        <v>72723</v>
      </c>
      <c r="I216" s="1" t="s">
        <v>668</v>
      </c>
      <c r="J216" s="1" t="s">
        <v>411</v>
      </c>
      <c r="K216" s="1" t="s">
        <v>18</v>
      </c>
      <c r="L216" s="1" t="s">
        <v>1156</v>
      </c>
      <c r="M216" s="1" t="s">
        <v>27</v>
      </c>
      <c r="N216">
        <v>63011</v>
      </c>
      <c r="O216" s="1" t="s">
        <v>1157</v>
      </c>
      <c r="P216" s="1" t="s">
        <v>15</v>
      </c>
      <c r="Q216">
        <v>66851</v>
      </c>
      <c r="R216">
        <f>winners_21___26[[#This Row],[winners 2021.votes]]-winners_21___26[[#This Row],[runner up 2021.votes]]</f>
        <v>25263</v>
      </c>
      <c r="S216">
        <f>winners_21___26[[#This Row],[winners 2026.votes]]-winners_21___26[[#This Row],[runner up 2026.votes]]</f>
        <v>5872</v>
      </c>
      <c r="T216">
        <v>174536</v>
      </c>
      <c r="U216">
        <v>186050</v>
      </c>
      <c r="V216" s="2">
        <f>winners_21___26[[#This Row],[Margin votes 2021]]/winners_21___26[[#This Row],[Total votes 2021.Sum of votes]]</f>
        <v>0.14474377778796352</v>
      </c>
      <c r="W216" s="3">
        <f>(winners_21___26[[#This Row],[Margin votes 2026]]/winners_21___26[[#This Row],[Total votes 2026.Sum of votes]])*100</f>
        <v>3.1561408223595806</v>
      </c>
      <c r="X216" t="str">
        <f>IF(winners_21___26[[#This Row],[winners 2021.party]]=winners_21___26[[#This Row],[winners 2026.party]],"Retained","Flipped")</f>
        <v>Retained</v>
      </c>
    </row>
    <row r="217" spans="1:24" x14ac:dyDescent="0.3">
      <c r="A217" s="1" t="s">
        <v>675</v>
      </c>
      <c r="B217">
        <v>216</v>
      </c>
      <c r="C217" s="1" t="s">
        <v>676</v>
      </c>
      <c r="D217" s="1" t="s">
        <v>21</v>
      </c>
      <c r="E217">
        <v>76843</v>
      </c>
      <c r="F217" s="1" t="s">
        <v>677</v>
      </c>
      <c r="G217" s="1" t="s">
        <v>15</v>
      </c>
      <c r="H217">
        <v>58814</v>
      </c>
      <c r="I217" s="1" t="s">
        <v>668</v>
      </c>
      <c r="J217" s="1" t="s">
        <v>411</v>
      </c>
      <c r="K217" s="1" t="s">
        <v>18</v>
      </c>
      <c r="L217" s="1" t="s">
        <v>1158</v>
      </c>
      <c r="M217" s="1" t="s">
        <v>27</v>
      </c>
      <c r="N217">
        <v>59471</v>
      </c>
      <c r="O217" s="1" t="s">
        <v>1159</v>
      </c>
      <c r="P217" s="1" t="s">
        <v>27</v>
      </c>
      <c r="Q217">
        <v>57628</v>
      </c>
      <c r="R217">
        <f>winners_21___26[[#This Row],[winners 2021.votes]]-winners_21___26[[#This Row],[runner up 2021.votes]]</f>
        <v>17372</v>
      </c>
      <c r="S217">
        <f>winners_21___26[[#This Row],[winners 2026.votes]]-winners_21___26[[#This Row],[runner up 2026.votes]]</f>
        <v>1186</v>
      </c>
      <c r="T217">
        <v>164386</v>
      </c>
      <c r="U217">
        <v>176421</v>
      </c>
      <c r="V217" s="2">
        <f>winners_21___26[[#This Row],[Margin votes 2021]]/winners_21___26[[#This Row],[Total votes 2021.Sum of votes]]</f>
        <v>0.10567809910819656</v>
      </c>
      <c r="W217" s="3">
        <f>(winners_21___26[[#This Row],[Margin votes 2026]]/winners_21___26[[#This Row],[Total votes 2026.Sum of votes]])*100</f>
        <v>0.67225557048197204</v>
      </c>
      <c r="X217" t="str">
        <f>IF(winners_21___26[[#This Row],[winners 2021.party]]=winners_21___26[[#This Row],[winners 2026.party]],"Retained","Flipped")</f>
        <v>Flipped</v>
      </c>
    </row>
    <row r="218" spans="1:24" x14ac:dyDescent="0.3">
      <c r="A218" s="1" t="s">
        <v>678</v>
      </c>
      <c r="B218">
        <v>217</v>
      </c>
      <c r="C218" s="1" t="s">
        <v>679</v>
      </c>
      <c r="D218" s="1" t="s">
        <v>13</v>
      </c>
      <c r="E218">
        <v>73110</v>
      </c>
      <c r="F218" s="1" t="s">
        <v>680</v>
      </c>
      <c r="G218" s="1" t="s">
        <v>15</v>
      </c>
      <c r="H218">
        <v>81625</v>
      </c>
      <c r="I218" s="1" t="s">
        <v>668</v>
      </c>
      <c r="J218" s="1" t="s">
        <v>411</v>
      </c>
      <c r="K218" s="1" t="s">
        <v>23</v>
      </c>
      <c r="L218" s="1" t="s">
        <v>1160</v>
      </c>
      <c r="M218" s="1" t="s">
        <v>27</v>
      </c>
      <c r="N218">
        <v>64600</v>
      </c>
      <c r="O218" s="1" t="s">
        <v>1161</v>
      </c>
      <c r="P218" s="1" t="s">
        <v>13</v>
      </c>
      <c r="Q218">
        <v>52542</v>
      </c>
      <c r="R218">
        <f>winners_21___26[[#This Row],[winners 2021.votes]]-winners_21___26[[#This Row],[runner up 2021.votes]]</f>
        <v>8510</v>
      </c>
      <c r="S218">
        <f>winners_21___26[[#This Row],[winners 2026.votes]]-winners_21___26[[#This Row],[runner up 2026.votes]]</f>
        <v>29083</v>
      </c>
      <c r="T218">
        <v>177840</v>
      </c>
      <c r="U218">
        <v>196117</v>
      </c>
      <c r="V218" s="2">
        <f>winners_21___26[[#This Row],[Margin votes 2021]]/winners_21___26[[#This Row],[Total votes 2021.Sum of votes]]</f>
        <v>4.7852001799370221E-2</v>
      </c>
      <c r="W218" s="3">
        <f>(winners_21___26[[#This Row],[Margin votes 2026]]/winners_21___26[[#This Row],[Total votes 2026.Sum of votes]])*100</f>
        <v>14.829413054452189</v>
      </c>
      <c r="X218" t="str">
        <f>IF(winners_21___26[[#This Row],[winners 2021.party]]=winners_21___26[[#This Row],[winners 2026.party]],"Retained","Flipped")</f>
        <v>Flipped</v>
      </c>
    </row>
    <row r="219" spans="1:24" x14ac:dyDescent="0.3">
      <c r="A219" s="1" t="s">
        <v>681</v>
      </c>
      <c r="B219">
        <v>218</v>
      </c>
      <c r="C219" s="1" t="s">
        <v>682</v>
      </c>
      <c r="D219" s="1" t="s">
        <v>27</v>
      </c>
      <c r="E219">
        <v>68556</v>
      </c>
      <c r="F219" s="1" t="s">
        <v>683</v>
      </c>
      <c r="G219" s="1" t="s">
        <v>13</v>
      </c>
      <c r="H219">
        <v>61643</v>
      </c>
      <c r="I219" s="1" t="s">
        <v>668</v>
      </c>
      <c r="J219" s="1" t="s">
        <v>411</v>
      </c>
      <c r="K219" s="1" t="s">
        <v>18</v>
      </c>
      <c r="L219" s="1" t="s">
        <v>1162</v>
      </c>
      <c r="M219" s="1" t="s">
        <v>532</v>
      </c>
      <c r="N219">
        <v>56153</v>
      </c>
      <c r="O219" s="1" t="s">
        <v>1163</v>
      </c>
      <c r="P219" s="1" t="s">
        <v>15</v>
      </c>
      <c r="Q219">
        <v>60800</v>
      </c>
      <c r="R219">
        <f>winners_21___26[[#This Row],[winners 2021.votes]]-winners_21___26[[#This Row],[runner up 2021.votes]]</f>
        <v>12403</v>
      </c>
      <c r="S219">
        <f>winners_21___26[[#This Row],[winners 2026.votes]]-winners_21___26[[#This Row],[runner up 2026.votes]]</f>
        <v>843</v>
      </c>
      <c r="T219">
        <v>180928</v>
      </c>
      <c r="U219">
        <v>194232</v>
      </c>
      <c r="V219" s="2">
        <f>winners_21___26[[#This Row],[Margin votes 2021]]/winners_21___26[[#This Row],[Total votes 2021.Sum of votes]]</f>
        <v>6.8552131234524236E-2</v>
      </c>
      <c r="W219" s="3">
        <f>(winners_21___26[[#This Row],[Margin votes 2026]]/winners_21___26[[#This Row],[Total votes 2026.Sum of votes]])*100</f>
        <v>0.43401705177313726</v>
      </c>
      <c r="X219" t="str">
        <f>IF(winners_21___26[[#This Row],[winners 2021.party]]=winners_21___26[[#This Row],[winners 2026.party]],"Retained","Flipped")</f>
        <v>Flipped</v>
      </c>
    </row>
    <row r="220" spans="1:24" x14ac:dyDescent="0.3">
      <c r="A220" s="1" t="s">
        <v>684</v>
      </c>
      <c r="B220">
        <v>219</v>
      </c>
      <c r="C220" s="1" t="s">
        <v>685</v>
      </c>
      <c r="D220" s="1" t="s">
        <v>13</v>
      </c>
      <c r="E220">
        <v>71347</v>
      </c>
      <c r="F220" s="1" t="s">
        <v>686</v>
      </c>
      <c r="G220" s="1" t="s">
        <v>27</v>
      </c>
      <c r="H220">
        <v>64865</v>
      </c>
      <c r="I220" s="1" t="s">
        <v>687</v>
      </c>
      <c r="J220" s="1" t="s">
        <v>411</v>
      </c>
      <c r="K220" s="1" t="s">
        <v>23</v>
      </c>
      <c r="L220" s="1" t="s">
        <v>1164</v>
      </c>
      <c r="M220" s="1" t="s">
        <v>27</v>
      </c>
      <c r="N220">
        <v>66050</v>
      </c>
      <c r="O220" s="1" t="s">
        <v>1165</v>
      </c>
      <c r="P220" s="1" t="s">
        <v>15</v>
      </c>
      <c r="Q220">
        <v>58376</v>
      </c>
      <c r="R220">
        <f>winners_21___26[[#This Row],[winners 2021.votes]]-winners_21___26[[#This Row],[runner up 2021.votes]]</f>
        <v>5297</v>
      </c>
      <c r="S220">
        <f>winners_21___26[[#This Row],[winners 2026.votes]]-winners_21___26[[#This Row],[runner up 2026.votes]]</f>
        <v>6489</v>
      </c>
      <c r="T220">
        <v>183338</v>
      </c>
      <c r="U220">
        <v>196480</v>
      </c>
      <c r="V220" s="2">
        <f>winners_21___26[[#This Row],[Margin votes 2021]]/winners_21___26[[#This Row],[Total votes 2021.Sum of votes]]</f>
        <v>2.8891991840207704E-2</v>
      </c>
      <c r="W220" s="3">
        <f>(winners_21___26[[#This Row],[Margin votes 2026]]/winners_21___26[[#This Row],[Total votes 2026.Sum of votes]])*100</f>
        <v>3.3026262214983713</v>
      </c>
      <c r="X220" t="str">
        <f>IF(winners_21___26[[#This Row],[winners 2021.party]]=winners_21___26[[#This Row],[winners 2026.party]],"Retained","Flipped")</f>
        <v>Flipped</v>
      </c>
    </row>
    <row r="221" spans="1:24" x14ac:dyDescent="0.3">
      <c r="A221" s="1" t="s">
        <v>688</v>
      </c>
      <c r="B221">
        <v>220</v>
      </c>
      <c r="C221" s="1" t="s">
        <v>689</v>
      </c>
      <c r="D221" s="1" t="s">
        <v>13</v>
      </c>
      <c r="E221">
        <v>68730</v>
      </c>
      <c r="F221" s="1" t="s">
        <v>690</v>
      </c>
      <c r="G221" s="1" t="s">
        <v>13</v>
      </c>
      <c r="H221">
        <v>63045</v>
      </c>
      <c r="I221" s="1" t="s">
        <v>687</v>
      </c>
      <c r="J221" s="1" t="s">
        <v>411</v>
      </c>
      <c r="K221" s="1" t="s">
        <v>23</v>
      </c>
      <c r="L221" s="1" t="s">
        <v>1166</v>
      </c>
      <c r="M221" s="1" t="s">
        <v>27</v>
      </c>
      <c r="N221">
        <v>66363</v>
      </c>
      <c r="O221" s="1" t="s">
        <v>1167</v>
      </c>
      <c r="P221" s="1" t="s">
        <v>324</v>
      </c>
      <c r="Q221">
        <v>56462</v>
      </c>
      <c r="R221">
        <f>winners_21___26[[#This Row],[winners 2021.votes]]-winners_21___26[[#This Row],[runner up 2021.votes]]</f>
        <v>2367</v>
      </c>
      <c r="S221">
        <f>winners_21___26[[#This Row],[winners 2026.votes]]-winners_21___26[[#This Row],[runner up 2026.votes]]</f>
        <v>6583</v>
      </c>
      <c r="T221">
        <v>175881</v>
      </c>
      <c r="U221">
        <v>189795</v>
      </c>
      <c r="V221" s="2">
        <f>winners_21___26[[#This Row],[Margin votes 2021]]/winners_21___26[[#This Row],[Total votes 2021.Sum of votes]]</f>
        <v>1.3457963054565304E-2</v>
      </c>
      <c r="W221" s="3">
        <f>(winners_21___26[[#This Row],[Margin votes 2026]]/winners_21___26[[#This Row],[Total votes 2026.Sum of votes]])*100</f>
        <v>3.4684791485550197</v>
      </c>
      <c r="X221" t="str">
        <f>IF(winners_21___26[[#This Row],[winners 2021.party]]=winners_21___26[[#This Row],[winners 2026.party]],"Retained","Flipped")</f>
        <v>Retained</v>
      </c>
    </row>
    <row r="222" spans="1:24" x14ac:dyDescent="0.3">
      <c r="A222" s="1" t="s">
        <v>691</v>
      </c>
      <c r="B222">
        <v>221</v>
      </c>
      <c r="C222" s="1" t="s">
        <v>692</v>
      </c>
      <c r="D222" s="1" t="s">
        <v>27</v>
      </c>
      <c r="E222">
        <v>88474</v>
      </c>
      <c r="F222" s="1" t="s">
        <v>693</v>
      </c>
      <c r="G222" s="1" t="s">
        <v>13</v>
      </c>
      <c r="H222">
        <v>79832</v>
      </c>
      <c r="I222" s="1" t="s">
        <v>687</v>
      </c>
      <c r="J222" s="1" t="s">
        <v>411</v>
      </c>
      <c r="K222" s="1" t="s">
        <v>18</v>
      </c>
      <c r="L222" s="1" t="s">
        <v>1168</v>
      </c>
      <c r="M222" s="1" t="s">
        <v>163</v>
      </c>
      <c r="N222">
        <v>64125</v>
      </c>
      <c r="O222" s="1" t="s">
        <v>1169</v>
      </c>
      <c r="P222" s="1" t="s">
        <v>27</v>
      </c>
      <c r="Q222">
        <v>73579</v>
      </c>
      <c r="R222">
        <f>winners_21___26[[#This Row],[winners 2021.votes]]-winners_21___26[[#This Row],[runner up 2021.votes]]</f>
        <v>24349</v>
      </c>
      <c r="S222">
        <f>winners_21___26[[#This Row],[winners 2026.votes]]-winners_21___26[[#This Row],[runner up 2026.votes]]</f>
        <v>6253</v>
      </c>
      <c r="T222">
        <v>205374</v>
      </c>
      <c r="U222">
        <v>221951</v>
      </c>
      <c r="V222" s="2">
        <f>winners_21___26[[#This Row],[Margin votes 2021]]/winners_21___26[[#This Row],[Total votes 2021.Sum of votes]]</f>
        <v>0.11855931130522851</v>
      </c>
      <c r="W222" s="3">
        <f>(winners_21___26[[#This Row],[Margin votes 2026]]/winners_21___26[[#This Row],[Total votes 2026.Sum of votes]])*100</f>
        <v>2.8172885006150006</v>
      </c>
      <c r="X222" t="str">
        <f>IF(winners_21___26[[#This Row],[winners 2021.party]]=winners_21___26[[#This Row],[winners 2026.party]],"Retained","Flipped")</f>
        <v>Flipped</v>
      </c>
    </row>
    <row r="223" spans="1:24" x14ac:dyDescent="0.3">
      <c r="A223" s="1" t="s">
        <v>694</v>
      </c>
      <c r="B223">
        <v>222</v>
      </c>
      <c r="C223" s="1" t="s">
        <v>695</v>
      </c>
      <c r="D223" s="1" t="s">
        <v>21</v>
      </c>
      <c r="E223">
        <v>89315</v>
      </c>
      <c r="F223" s="1" t="s">
        <v>696</v>
      </c>
      <c r="G223" s="1" t="s">
        <v>13</v>
      </c>
      <c r="H223">
        <v>79699</v>
      </c>
      <c r="I223" s="1" t="s">
        <v>687</v>
      </c>
      <c r="J223" s="1" t="s">
        <v>411</v>
      </c>
      <c r="K223" s="1" t="s">
        <v>18</v>
      </c>
      <c r="L223" s="1" t="s">
        <v>1170</v>
      </c>
      <c r="M223" s="1" t="s">
        <v>27</v>
      </c>
      <c r="N223">
        <v>88945</v>
      </c>
      <c r="O223" s="1" t="s">
        <v>1171</v>
      </c>
      <c r="P223" s="1" t="s">
        <v>27</v>
      </c>
      <c r="Q223">
        <v>69400</v>
      </c>
      <c r="R223">
        <f>winners_21___26[[#This Row],[winners 2021.votes]]-winners_21___26[[#This Row],[runner up 2021.votes]]</f>
        <v>370</v>
      </c>
      <c r="S223">
        <f>winners_21___26[[#This Row],[winners 2026.votes]]-winners_21___26[[#This Row],[runner up 2026.votes]]</f>
        <v>10299</v>
      </c>
      <c r="T223">
        <v>214108</v>
      </c>
      <c r="U223">
        <v>234987</v>
      </c>
      <c r="V223" s="2">
        <f>winners_21___26[[#This Row],[Margin votes 2021]]/winners_21___26[[#This Row],[Total votes 2021.Sum of votes]]</f>
        <v>1.7280998374652045E-3</v>
      </c>
      <c r="W223" s="3">
        <f>(winners_21___26[[#This Row],[Margin votes 2026]]/winners_21___26[[#This Row],[Total votes 2026.Sum of votes]])*100</f>
        <v>4.3827956440143501</v>
      </c>
      <c r="X223" t="str">
        <f>IF(winners_21___26[[#This Row],[winners 2021.party]]=winners_21___26[[#This Row],[winners 2026.party]],"Retained","Flipped")</f>
        <v>Flipped</v>
      </c>
    </row>
    <row r="224" spans="1:24" x14ac:dyDescent="0.3">
      <c r="A224" s="1" t="s">
        <v>697</v>
      </c>
      <c r="B224">
        <v>223</v>
      </c>
      <c r="C224" s="1" t="s">
        <v>698</v>
      </c>
      <c r="D224" s="1" t="s">
        <v>27</v>
      </c>
      <c r="E224">
        <v>74153</v>
      </c>
      <c r="F224" s="1" t="s">
        <v>698</v>
      </c>
      <c r="G224" s="1" t="s">
        <v>13</v>
      </c>
      <c r="H224">
        <v>69170</v>
      </c>
      <c r="I224" s="1" t="s">
        <v>687</v>
      </c>
      <c r="J224" s="1" t="s">
        <v>411</v>
      </c>
      <c r="K224" s="1" t="s">
        <v>18</v>
      </c>
      <c r="L224" s="1" t="s">
        <v>1172</v>
      </c>
      <c r="M224" s="1" t="s">
        <v>13</v>
      </c>
      <c r="N224">
        <v>70614</v>
      </c>
      <c r="O224" s="1" t="s">
        <v>1173</v>
      </c>
      <c r="P224" s="1" t="s">
        <v>27</v>
      </c>
      <c r="Q224">
        <v>61372</v>
      </c>
      <c r="R224">
        <f>winners_21___26[[#This Row],[winners 2021.votes]]-winners_21___26[[#This Row],[runner up 2021.votes]]</f>
        <v>3539</v>
      </c>
      <c r="S224">
        <f>winners_21___26[[#This Row],[winners 2026.votes]]-winners_21___26[[#This Row],[runner up 2026.votes]]</f>
        <v>7798</v>
      </c>
      <c r="T224">
        <v>203478</v>
      </c>
      <c r="U224">
        <v>220857</v>
      </c>
      <c r="V224" s="2">
        <f>winners_21___26[[#This Row],[Margin votes 2021]]/winners_21___26[[#This Row],[Total votes 2021.Sum of votes]]</f>
        <v>1.7392543665654271E-2</v>
      </c>
      <c r="W224" s="3">
        <f>(winners_21___26[[#This Row],[Margin votes 2026]]/winners_21___26[[#This Row],[Total votes 2026.Sum of votes]])*100</f>
        <v>3.5307914170707742</v>
      </c>
      <c r="X224" t="str">
        <f>IF(winners_21___26[[#This Row],[winners 2021.party]]=winners_21___26[[#This Row],[winners 2026.party]],"Retained","Flipped")</f>
        <v>Flipped</v>
      </c>
    </row>
    <row r="225" spans="1:24" x14ac:dyDescent="0.3">
      <c r="A225" s="1" t="s">
        <v>687</v>
      </c>
      <c r="B225">
        <v>224</v>
      </c>
      <c r="C225" s="1" t="s">
        <v>699</v>
      </c>
      <c r="D225" s="1" t="s">
        <v>324</v>
      </c>
      <c r="E225">
        <v>92282</v>
      </c>
      <c r="F225" s="1" t="s">
        <v>700</v>
      </c>
      <c r="G225" s="1" t="s">
        <v>15</v>
      </c>
      <c r="H225">
        <v>75840</v>
      </c>
      <c r="I225" s="1" t="s">
        <v>687</v>
      </c>
      <c r="J225" s="1" t="s">
        <v>411</v>
      </c>
      <c r="K225" s="1" t="s">
        <v>18</v>
      </c>
      <c r="L225" s="1" t="s">
        <v>1174</v>
      </c>
      <c r="M225" s="1" t="s">
        <v>13</v>
      </c>
      <c r="N225">
        <v>69175</v>
      </c>
      <c r="O225" s="1" t="s">
        <v>1175</v>
      </c>
      <c r="P225" s="1" t="s">
        <v>13</v>
      </c>
      <c r="Q225">
        <v>64426</v>
      </c>
      <c r="R225">
        <f>winners_21___26[[#This Row],[winners 2021.votes]]-winners_21___26[[#This Row],[runner up 2021.votes]]</f>
        <v>23107</v>
      </c>
      <c r="S225">
        <f>winners_21___26[[#This Row],[winners 2026.votes]]-winners_21___26[[#This Row],[runner up 2026.votes]]</f>
        <v>11414</v>
      </c>
      <c r="T225">
        <v>197587</v>
      </c>
      <c r="U225">
        <v>218425</v>
      </c>
      <c r="V225" s="2">
        <f>winners_21___26[[#This Row],[Margin votes 2021]]/winners_21___26[[#This Row],[Total votes 2021.Sum of votes]]</f>
        <v>0.11694595292200398</v>
      </c>
      <c r="W225" s="3">
        <f>(winners_21___26[[#This Row],[Margin votes 2026]]/winners_21___26[[#This Row],[Total votes 2026.Sum of votes]])*100</f>
        <v>5.2255923085727369</v>
      </c>
      <c r="X225" t="str">
        <f>IF(winners_21___26[[#This Row],[winners 2021.party]]=winners_21___26[[#This Row],[winners 2026.party]],"Retained","Flipped")</f>
        <v>Flipped</v>
      </c>
    </row>
    <row r="226" spans="1:24" x14ac:dyDescent="0.3">
      <c r="A226" s="1" t="s">
        <v>701</v>
      </c>
      <c r="B226">
        <v>225</v>
      </c>
      <c r="C226" s="1" t="s">
        <v>702</v>
      </c>
      <c r="D226" s="1" t="s">
        <v>27</v>
      </c>
      <c r="E226">
        <v>85211</v>
      </c>
      <c r="F226" s="1" t="s">
        <v>703</v>
      </c>
      <c r="G226" s="1" t="s">
        <v>27</v>
      </c>
      <c r="H226">
        <v>65589</v>
      </c>
      <c r="I226" s="1" t="s">
        <v>687</v>
      </c>
      <c r="J226" s="1" t="s">
        <v>411</v>
      </c>
      <c r="K226" s="1" t="s">
        <v>18</v>
      </c>
      <c r="L226" s="1" t="s">
        <v>1176</v>
      </c>
      <c r="M226" s="1" t="s">
        <v>13</v>
      </c>
      <c r="N226">
        <v>68296</v>
      </c>
      <c r="O226" s="1" t="s">
        <v>1177</v>
      </c>
      <c r="P226" s="1" t="s">
        <v>21</v>
      </c>
      <c r="Q226">
        <v>55344</v>
      </c>
      <c r="R226">
        <f>winners_21___26[[#This Row],[winners 2021.votes]]-winners_21___26[[#This Row],[runner up 2021.votes]]</f>
        <v>16915</v>
      </c>
      <c r="S226">
        <f>winners_21___26[[#This Row],[winners 2026.votes]]-winners_21___26[[#This Row],[runner up 2026.votes]]</f>
        <v>10245</v>
      </c>
      <c r="T226">
        <v>177681</v>
      </c>
      <c r="U226">
        <v>191195</v>
      </c>
      <c r="V226" s="2">
        <f>winners_21___26[[#This Row],[Margin votes 2021]]/winners_21___26[[#This Row],[Total votes 2021.Sum of votes]]</f>
        <v>9.5198698791654712E-2</v>
      </c>
      <c r="W226" s="3">
        <f>(winners_21___26[[#This Row],[Margin votes 2026]]/winners_21___26[[#This Row],[Total votes 2026.Sum of votes]])*100</f>
        <v>5.3584037239467559</v>
      </c>
      <c r="X226" t="str">
        <f>IF(winners_21___26[[#This Row],[winners 2021.party]]=winners_21___26[[#This Row],[winners 2026.party]],"Retained","Flipped")</f>
        <v>Retained</v>
      </c>
    </row>
    <row r="227" spans="1:24" x14ac:dyDescent="0.3">
      <c r="A227" s="1" t="s">
        <v>704</v>
      </c>
      <c r="B227">
        <v>226</v>
      </c>
      <c r="C227" s="1" t="s">
        <v>705</v>
      </c>
      <c r="D227" s="1" t="s">
        <v>13</v>
      </c>
      <c r="E227">
        <v>89117</v>
      </c>
      <c r="F227" s="1" t="s">
        <v>706</v>
      </c>
      <c r="G227" s="1" t="s">
        <v>13</v>
      </c>
      <c r="H227">
        <v>79744</v>
      </c>
      <c r="I227" s="1" t="s">
        <v>687</v>
      </c>
      <c r="J227" s="1" t="s">
        <v>411</v>
      </c>
      <c r="K227" s="1" t="s">
        <v>18</v>
      </c>
      <c r="L227" s="1" t="s">
        <v>1178</v>
      </c>
      <c r="M227" s="1" t="s">
        <v>27</v>
      </c>
      <c r="N227">
        <v>36976</v>
      </c>
      <c r="O227" s="1" t="s">
        <v>1179</v>
      </c>
      <c r="P227" s="1" t="s">
        <v>15</v>
      </c>
      <c r="Q227">
        <v>65939</v>
      </c>
      <c r="R227">
        <f>winners_21___26[[#This Row],[winners 2021.votes]]-winners_21___26[[#This Row],[runner up 2021.votes]]</f>
        <v>52141</v>
      </c>
      <c r="S227">
        <f>winners_21___26[[#This Row],[winners 2026.votes]]-winners_21___26[[#This Row],[runner up 2026.votes]]</f>
        <v>13805</v>
      </c>
      <c r="T227">
        <v>161091</v>
      </c>
      <c r="U227">
        <v>180620</v>
      </c>
      <c r="V227" s="2">
        <f>winners_21___26[[#This Row],[Margin votes 2021]]/winners_21___26[[#This Row],[Total votes 2021.Sum of votes]]</f>
        <v>0.32367419657212382</v>
      </c>
      <c r="W227" s="3">
        <f>(winners_21___26[[#This Row],[Margin votes 2026]]/winners_21___26[[#This Row],[Total votes 2026.Sum of votes]])*100</f>
        <v>7.6431181485992692</v>
      </c>
      <c r="X227" t="str">
        <f>IF(winners_21___26[[#This Row],[winners 2021.party]]=winners_21___26[[#This Row],[winners 2026.party]],"Retained","Flipped")</f>
        <v>Retained</v>
      </c>
    </row>
    <row r="228" spans="1:24" x14ac:dyDescent="0.3">
      <c r="A228" s="1" t="s">
        <v>707</v>
      </c>
      <c r="B228">
        <v>227</v>
      </c>
      <c r="C228" s="1" t="s">
        <v>708</v>
      </c>
      <c r="D228" s="1" t="s">
        <v>21</v>
      </c>
      <c r="E228">
        <v>75902</v>
      </c>
      <c r="F228" s="1" t="s">
        <v>709</v>
      </c>
      <c r="G228" s="1" t="s">
        <v>15</v>
      </c>
      <c r="H228">
        <v>74952</v>
      </c>
      <c r="I228" s="1" t="s">
        <v>687</v>
      </c>
      <c r="J228" s="1" t="s">
        <v>411</v>
      </c>
      <c r="K228" s="1" t="s">
        <v>18</v>
      </c>
      <c r="L228" s="1" t="s">
        <v>1180</v>
      </c>
      <c r="M228" s="1" t="s">
        <v>27</v>
      </c>
      <c r="N228">
        <v>59416</v>
      </c>
      <c r="O228" s="1" t="s">
        <v>1181</v>
      </c>
      <c r="P228" s="1" t="s">
        <v>21</v>
      </c>
      <c r="Q228">
        <v>58533</v>
      </c>
      <c r="R228">
        <f>winners_21___26[[#This Row],[winners 2021.votes]]-winners_21___26[[#This Row],[runner up 2021.votes]]</f>
        <v>16486</v>
      </c>
      <c r="S228">
        <f>winners_21___26[[#This Row],[winners 2026.votes]]-winners_21___26[[#This Row],[runner up 2026.votes]]</f>
        <v>16419</v>
      </c>
      <c r="T228">
        <v>192522</v>
      </c>
      <c r="U228">
        <v>209419</v>
      </c>
      <c r="V228" s="2">
        <f>winners_21___26[[#This Row],[Margin votes 2021]]/winners_21___26[[#This Row],[Total votes 2021.Sum of votes]]</f>
        <v>8.5631771953335198E-2</v>
      </c>
      <c r="W228" s="3">
        <f>(winners_21___26[[#This Row],[Margin votes 2026]]/winners_21___26[[#This Row],[Total votes 2026.Sum of votes]])*100</f>
        <v>7.840262822380013</v>
      </c>
      <c r="X228" t="str">
        <f>IF(winners_21___26[[#This Row],[winners 2021.party]]=winners_21___26[[#This Row],[winners 2026.party]],"Retained","Flipped")</f>
        <v>Flipped</v>
      </c>
    </row>
    <row r="229" spans="1:24" x14ac:dyDescent="0.3">
      <c r="A229" s="1" t="s">
        <v>710</v>
      </c>
      <c r="B229">
        <v>228</v>
      </c>
      <c r="C229" s="1" t="s">
        <v>711</v>
      </c>
      <c r="D229" s="1" t="s">
        <v>13</v>
      </c>
      <c r="E229">
        <v>82331</v>
      </c>
      <c r="F229" s="1" t="s">
        <v>712</v>
      </c>
      <c r="G229" s="1" t="s">
        <v>15</v>
      </c>
      <c r="H229">
        <v>69947</v>
      </c>
      <c r="I229" s="1" t="s">
        <v>687</v>
      </c>
      <c r="J229" s="1" t="s">
        <v>411</v>
      </c>
      <c r="K229" s="1" t="s">
        <v>18</v>
      </c>
      <c r="L229" s="1" t="s">
        <v>1182</v>
      </c>
      <c r="M229" s="1" t="s">
        <v>27</v>
      </c>
      <c r="N229">
        <v>76406</v>
      </c>
      <c r="O229" s="1" t="s">
        <v>1183</v>
      </c>
      <c r="P229" s="1" t="s">
        <v>13</v>
      </c>
      <c r="Q229">
        <v>57634</v>
      </c>
      <c r="R229">
        <f>winners_21___26[[#This Row],[winners 2021.votes]]-winners_21___26[[#This Row],[runner up 2021.votes]]</f>
        <v>5925</v>
      </c>
      <c r="S229">
        <f>winners_21___26[[#This Row],[winners 2026.votes]]-winners_21___26[[#This Row],[runner up 2026.votes]]</f>
        <v>12313</v>
      </c>
      <c r="T229">
        <v>187310</v>
      </c>
      <c r="U229">
        <v>199931</v>
      </c>
      <c r="V229" s="2">
        <f>winners_21___26[[#This Row],[Margin votes 2021]]/winners_21___26[[#This Row],[Total votes 2021.Sum of votes]]</f>
        <v>3.163205381453206E-2</v>
      </c>
      <c r="W229" s="3">
        <f>(winners_21___26[[#This Row],[Margin votes 2026]]/winners_21___26[[#This Row],[Total votes 2026.Sum of votes]])*100</f>
        <v>6.1586247255303084</v>
      </c>
      <c r="X229" t="str">
        <f>IF(winners_21___26[[#This Row],[winners 2021.party]]=winners_21___26[[#This Row],[winners 2026.party]],"Retained","Flipped")</f>
        <v>Flipped</v>
      </c>
    </row>
    <row r="230" spans="1:24" x14ac:dyDescent="0.3">
      <c r="A230" s="1" t="s">
        <v>713</v>
      </c>
      <c r="B230">
        <v>229</v>
      </c>
      <c r="C230" s="1" t="s">
        <v>714</v>
      </c>
      <c r="D230" s="1" t="s">
        <v>27</v>
      </c>
      <c r="E230">
        <v>109745</v>
      </c>
      <c r="F230" s="1" t="s">
        <v>715</v>
      </c>
      <c r="G230" s="1" t="s">
        <v>27</v>
      </c>
      <c r="H230">
        <v>75045</v>
      </c>
      <c r="I230" s="1" t="s">
        <v>713</v>
      </c>
      <c r="J230" s="1" t="s">
        <v>411</v>
      </c>
      <c r="K230" s="1" t="s">
        <v>18</v>
      </c>
      <c r="L230" s="1" t="s">
        <v>1184</v>
      </c>
      <c r="M230" s="1" t="s">
        <v>13</v>
      </c>
      <c r="N230">
        <v>93532</v>
      </c>
      <c r="O230" s="1" t="s">
        <v>1185</v>
      </c>
      <c r="P230" s="1" t="s">
        <v>13</v>
      </c>
      <c r="Q230">
        <v>74831</v>
      </c>
      <c r="R230">
        <f>winners_21___26[[#This Row],[winners 2021.votes]]-winners_21___26[[#This Row],[runner up 2021.votes]]</f>
        <v>16213</v>
      </c>
      <c r="S230">
        <f>winners_21___26[[#This Row],[winners 2026.votes]]-winners_21___26[[#This Row],[runner up 2026.votes]]</f>
        <v>214</v>
      </c>
      <c r="T230">
        <v>224874</v>
      </c>
      <c r="U230">
        <v>239150</v>
      </c>
      <c r="V230" s="2">
        <f>winners_21___26[[#This Row],[Margin votes 2021]]/winners_21___26[[#This Row],[Total votes 2021.Sum of votes]]</f>
        <v>7.2098152743314034E-2</v>
      </c>
      <c r="W230" s="3">
        <f>(winners_21___26[[#This Row],[Margin votes 2026]]/winners_21___26[[#This Row],[Total votes 2026.Sum of votes]])*100</f>
        <v>8.948358770646038E-2</v>
      </c>
      <c r="X230" t="str">
        <f>IF(winners_21___26[[#This Row],[winners 2021.party]]=winners_21___26[[#This Row],[winners 2026.party]],"Retained","Flipped")</f>
        <v>Retained</v>
      </c>
    </row>
    <row r="231" spans="1:24" x14ac:dyDescent="0.3">
      <c r="A231" s="1" t="s">
        <v>716</v>
      </c>
      <c r="B231">
        <v>230</v>
      </c>
      <c r="C231" s="1" t="s">
        <v>717</v>
      </c>
      <c r="D231" s="1" t="s">
        <v>324</v>
      </c>
      <c r="E231">
        <v>88804</v>
      </c>
      <c r="F231" s="1" t="s">
        <v>718</v>
      </c>
      <c r="G231" s="1" t="s">
        <v>13</v>
      </c>
      <c r="H231">
        <v>69880</v>
      </c>
      <c r="I231" s="1" t="s">
        <v>713</v>
      </c>
      <c r="J231" s="1" t="s">
        <v>411</v>
      </c>
      <c r="K231" s="1" t="s">
        <v>18</v>
      </c>
      <c r="L231" s="1" t="s">
        <v>1186</v>
      </c>
      <c r="M231" s="1" t="s">
        <v>13</v>
      </c>
      <c r="N231">
        <v>77135</v>
      </c>
      <c r="O231" s="1" t="s">
        <v>1187</v>
      </c>
      <c r="P231" s="1" t="s">
        <v>15</v>
      </c>
      <c r="Q231">
        <v>62310</v>
      </c>
      <c r="R231">
        <f>winners_21___26[[#This Row],[winners 2021.votes]]-winners_21___26[[#This Row],[runner up 2021.votes]]</f>
        <v>11669</v>
      </c>
      <c r="S231">
        <f>winners_21___26[[#This Row],[winners 2026.votes]]-winners_21___26[[#This Row],[runner up 2026.votes]]</f>
        <v>7570</v>
      </c>
      <c r="T231">
        <v>184185</v>
      </c>
      <c r="U231">
        <v>196280</v>
      </c>
      <c r="V231" s="2">
        <f>winners_21___26[[#This Row],[Margin votes 2021]]/winners_21___26[[#This Row],[Total votes 2021.Sum of votes]]</f>
        <v>6.3354779162255348E-2</v>
      </c>
      <c r="W231" s="3">
        <f>(winners_21___26[[#This Row],[Margin votes 2026]]/winners_21___26[[#This Row],[Total votes 2026.Sum of votes]])*100</f>
        <v>3.8567352761361322</v>
      </c>
      <c r="X231" t="str">
        <f>IF(winners_21___26[[#This Row],[winners 2021.party]]=winners_21___26[[#This Row],[winners 2026.party]],"Retained","Flipped")</f>
        <v>Flipped</v>
      </c>
    </row>
    <row r="232" spans="1:24" x14ac:dyDescent="0.3">
      <c r="A232" s="1" t="s">
        <v>719</v>
      </c>
      <c r="B232">
        <v>231</v>
      </c>
      <c r="C232" s="1" t="s">
        <v>720</v>
      </c>
      <c r="D232" s="1" t="s">
        <v>21</v>
      </c>
      <c r="E232">
        <v>90681</v>
      </c>
      <c r="F232" s="1" t="s">
        <v>721</v>
      </c>
      <c r="G232" s="1" t="s">
        <v>21</v>
      </c>
      <c r="H232">
        <v>66207</v>
      </c>
      <c r="I232" s="1" t="s">
        <v>713</v>
      </c>
      <c r="J232" s="1" t="s">
        <v>411</v>
      </c>
      <c r="K232" s="1" t="s">
        <v>18</v>
      </c>
      <c r="L232" s="1" t="s">
        <v>1188</v>
      </c>
      <c r="M232" s="1" t="s">
        <v>324</v>
      </c>
      <c r="N232">
        <v>65849</v>
      </c>
      <c r="O232" s="1" t="s">
        <v>1189</v>
      </c>
      <c r="P232" s="1" t="s">
        <v>15</v>
      </c>
      <c r="Q232">
        <v>63374</v>
      </c>
      <c r="R232">
        <f>winners_21___26[[#This Row],[winners 2021.votes]]-winners_21___26[[#This Row],[runner up 2021.votes]]</f>
        <v>24832</v>
      </c>
      <c r="S232">
        <f>winners_21___26[[#This Row],[winners 2026.votes]]-winners_21___26[[#This Row],[runner up 2026.votes]]</f>
        <v>2833</v>
      </c>
      <c r="T232">
        <v>182969</v>
      </c>
      <c r="U232">
        <v>199013</v>
      </c>
      <c r="V232" s="2">
        <f>winners_21___26[[#This Row],[Margin votes 2021]]/winners_21___26[[#This Row],[Total votes 2021.Sum of votes]]</f>
        <v>0.1357169793790205</v>
      </c>
      <c r="W232" s="3">
        <f>(winners_21___26[[#This Row],[Margin votes 2026]]/winners_21___26[[#This Row],[Total votes 2026.Sum of votes]])*100</f>
        <v>1.4235250963504897</v>
      </c>
      <c r="X232" t="str">
        <f>IF(winners_21___26[[#This Row],[winners 2021.party]]=winners_21___26[[#This Row],[winners 2026.party]],"Retained","Flipped")</f>
        <v>Retained</v>
      </c>
    </row>
    <row r="233" spans="1:24" x14ac:dyDescent="0.3">
      <c r="A233" s="1" t="s">
        <v>722</v>
      </c>
      <c r="B233">
        <v>232</v>
      </c>
      <c r="C233" s="1" t="s">
        <v>723</v>
      </c>
      <c r="D233" s="1" t="s">
        <v>13</v>
      </c>
      <c r="E233">
        <v>87744</v>
      </c>
      <c r="F233" s="1" t="s">
        <v>724</v>
      </c>
      <c r="G233" s="1" t="s">
        <v>520</v>
      </c>
      <c r="H233">
        <v>68938</v>
      </c>
      <c r="I233" s="1" t="s">
        <v>713</v>
      </c>
      <c r="J233" s="1" t="s">
        <v>411</v>
      </c>
      <c r="K233" s="1" t="s">
        <v>18</v>
      </c>
      <c r="L233" s="1" t="s">
        <v>1190</v>
      </c>
      <c r="M233" s="1" t="s">
        <v>27</v>
      </c>
      <c r="N233">
        <v>60859</v>
      </c>
      <c r="O233" s="1" t="s">
        <v>1191</v>
      </c>
      <c r="P233" s="1" t="s">
        <v>15</v>
      </c>
      <c r="Q233">
        <v>53369</v>
      </c>
      <c r="R233">
        <f>winners_21___26[[#This Row],[winners 2021.votes]]-winners_21___26[[#This Row],[runner up 2021.votes]]</f>
        <v>26885</v>
      </c>
      <c r="S233">
        <f>winners_21___26[[#This Row],[winners 2026.votes]]-winners_21___26[[#This Row],[runner up 2026.votes]]</f>
        <v>15569</v>
      </c>
      <c r="T233">
        <v>170156</v>
      </c>
      <c r="U233">
        <v>180555</v>
      </c>
      <c r="V233" s="2">
        <f>winners_21___26[[#This Row],[Margin votes 2021]]/winners_21___26[[#This Row],[Total votes 2021.Sum of votes]]</f>
        <v>0.15800206868990807</v>
      </c>
      <c r="W233" s="3">
        <f>(winners_21___26[[#This Row],[Margin votes 2026]]/winners_21___26[[#This Row],[Total votes 2026.Sum of votes]])*100</f>
        <v>8.622857301099387</v>
      </c>
      <c r="X233" t="str">
        <f>IF(winners_21___26[[#This Row],[winners 2021.party]]=winners_21___26[[#This Row],[winners 2026.party]],"Retained","Flipped")</f>
        <v>Flipped</v>
      </c>
    </row>
    <row r="234" spans="1:24" x14ac:dyDescent="0.3">
      <c r="A234" s="1" t="s">
        <v>725</v>
      </c>
      <c r="B234">
        <v>233</v>
      </c>
      <c r="C234" s="1" t="s">
        <v>726</v>
      </c>
      <c r="D234" s="1" t="s">
        <v>21</v>
      </c>
      <c r="E234">
        <v>87473</v>
      </c>
      <c r="F234" s="1" t="s">
        <v>727</v>
      </c>
      <c r="G234" s="1" t="s">
        <v>21</v>
      </c>
      <c r="H234">
        <v>70755</v>
      </c>
      <c r="I234" s="1" t="s">
        <v>713</v>
      </c>
      <c r="J234" s="1" t="s">
        <v>411</v>
      </c>
      <c r="K234" s="1" t="s">
        <v>18</v>
      </c>
      <c r="L234" s="1" t="s">
        <v>1192</v>
      </c>
      <c r="M234" s="1" t="s">
        <v>324</v>
      </c>
      <c r="N234">
        <v>58804</v>
      </c>
      <c r="O234" s="1" t="s">
        <v>1193</v>
      </c>
      <c r="P234" s="1" t="s">
        <v>15</v>
      </c>
      <c r="Q234">
        <v>49785</v>
      </c>
      <c r="R234">
        <f>winners_21___26[[#This Row],[winners 2021.votes]]-winners_21___26[[#This Row],[runner up 2021.votes]]</f>
        <v>28669</v>
      </c>
      <c r="S234">
        <f>winners_21___26[[#This Row],[winners 2026.votes]]-winners_21___26[[#This Row],[runner up 2026.votes]]</f>
        <v>20970</v>
      </c>
      <c r="T234">
        <v>167836</v>
      </c>
      <c r="U234">
        <v>174927</v>
      </c>
      <c r="V234" s="2">
        <f>winners_21___26[[#This Row],[Margin votes 2021]]/winners_21___26[[#This Row],[Total votes 2021.Sum of votes]]</f>
        <v>0.17081555804475798</v>
      </c>
      <c r="W234" s="3">
        <f>(winners_21___26[[#This Row],[Margin votes 2026]]/winners_21___26[[#This Row],[Total votes 2026.Sum of votes]])*100</f>
        <v>11.987857792107565</v>
      </c>
      <c r="X234" t="str">
        <f>IF(winners_21___26[[#This Row],[winners 2021.party]]=winners_21___26[[#This Row],[winners 2026.party]],"Retained","Flipped")</f>
        <v>Retained</v>
      </c>
    </row>
    <row r="235" spans="1:24" x14ac:dyDescent="0.3">
      <c r="A235" s="1" t="s">
        <v>728</v>
      </c>
      <c r="B235">
        <v>234</v>
      </c>
      <c r="C235" s="1" t="s">
        <v>729</v>
      </c>
      <c r="D235" s="1" t="s">
        <v>21</v>
      </c>
      <c r="E235">
        <v>101541</v>
      </c>
      <c r="F235" s="1" t="s">
        <v>730</v>
      </c>
      <c r="G235" s="1" t="s">
        <v>21</v>
      </c>
      <c r="H235">
        <v>66434</v>
      </c>
      <c r="I235" s="1" t="s">
        <v>713</v>
      </c>
      <c r="J235" s="1" t="s">
        <v>411</v>
      </c>
      <c r="K235" s="1" t="s">
        <v>18</v>
      </c>
      <c r="L235" s="1" t="s">
        <v>1194</v>
      </c>
      <c r="M235" s="1" t="s">
        <v>27</v>
      </c>
      <c r="N235">
        <v>46141</v>
      </c>
      <c r="O235" s="1" t="s">
        <v>1195</v>
      </c>
      <c r="P235" s="1" t="s">
        <v>15</v>
      </c>
      <c r="Q235">
        <v>65123</v>
      </c>
      <c r="R235">
        <f>winners_21___26[[#This Row],[winners 2021.votes]]-winners_21___26[[#This Row],[runner up 2021.votes]]</f>
        <v>55400</v>
      </c>
      <c r="S235">
        <f>winners_21___26[[#This Row],[winners 2026.votes]]-winners_21___26[[#This Row],[runner up 2026.votes]]</f>
        <v>1311</v>
      </c>
      <c r="T235">
        <v>169918</v>
      </c>
      <c r="U235">
        <v>177534</v>
      </c>
      <c r="V235" s="2">
        <f>winners_21___26[[#This Row],[Margin votes 2021]]/winners_21___26[[#This Row],[Total votes 2021.Sum of votes]]</f>
        <v>0.32603961911039442</v>
      </c>
      <c r="W235" s="3">
        <f>(winners_21___26[[#This Row],[Margin votes 2026]]/winners_21___26[[#This Row],[Total votes 2026.Sum of votes]])*100</f>
        <v>0.7384500996992126</v>
      </c>
      <c r="X235" t="str">
        <f>IF(winners_21___26[[#This Row],[winners 2021.party]]=winners_21___26[[#This Row],[winners 2026.party]],"Retained","Flipped")</f>
        <v>Retained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425E-B843-4559-B707-5B4D46CDAF10}">
  <dimension ref="A1:F40"/>
  <sheetViews>
    <sheetView workbookViewId="0">
      <selection activeCell="I11" sqref="I11"/>
    </sheetView>
  </sheetViews>
  <sheetFormatPr defaultRowHeight="14.4" x14ac:dyDescent="0.3"/>
  <cols>
    <col min="1" max="1" width="20" bestFit="1" customWidth="1"/>
    <col min="2" max="2" width="12.6640625" bestFit="1" customWidth="1"/>
    <col min="3" max="3" width="7.5546875" bestFit="1" customWidth="1"/>
    <col min="4" max="5" width="12.6640625" bestFit="1" customWidth="1"/>
    <col min="6" max="6" width="9.33203125" bestFit="1" customWidth="1"/>
  </cols>
  <sheetData>
    <row r="1" spans="1:6" x14ac:dyDescent="0.3">
      <c r="A1" t="s">
        <v>1203</v>
      </c>
      <c r="B1" t="s">
        <v>1245</v>
      </c>
      <c r="C1" t="s">
        <v>1244</v>
      </c>
      <c r="D1" t="s">
        <v>1201</v>
      </c>
      <c r="E1" t="s">
        <v>1202</v>
      </c>
      <c r="F1" t="s">
        <v>1243</v>
      </c>
    </row>
    <row r="2" spans="1:6" x14ac:dyDescent="0.3">
      <c r="A2" s="1" t="s">
        <v>1204</v>
      </c>
      <c r="B2" s="1" t="s">
        <v>236</v>
      </c>
      <c r="C2" s="1" t="s">
        <v>27</v>
      </c>
      <c r="D2">
        <v>15</v>
      </c>
      <c r="E2">
        <v>15</v>
      </c>
      <c r="F2">
        <v>0</v>
      </c>
    </row>
    <row r="3" spans="1:6" x14ac:dyDescent="0.3">
      <c r="A3" s="1" t="s">
        <v>1205</v>
      </c>
      <c r="B3" s="1" t="s">
        <v>236</v>
      </c>
      <c r="C3" s="1" t="s">
        <v>13</v>
      </c>
      <c r="D3">
        <v>21</v>
      </c>
      <c r="E3">
        <v>8</v>
      </c>
      <c r="F3">
        <v>-13</v>
      </c>
    </row>
    <row r="4" spans="1:6" x14ac:dyDescent="0.3">
      <c r="A4" s="1" t="s">
        <v>1206</v>
      </c>
      <c r="B4" s="1" t="s">
        <v>236</v>
      </c>
      <c r="C4" s="1" t="s">
        <v>21</v>
      </c>
      <c r="D4">
        <v>1</v>
      </c>
      <c r="E4">
        <v>0</v>
      </c>
      <c r="F4">
        <v>-1</v>
      </c>
    </row>
    <row r="5" spans="1:6" x14ac:dyDescent="0.3">
      <c r="A5" s="1" t="s">
        <v>1207</v>
      </c>
      <c r="B5" s="1" t="s">
        <v>236</v>
      </c>
      <c r="C5" s="1" t="s">
        <v>198</v>
      </c>
      <c r="D5">
        <v>3</v>
      </c>
      <c r="E5">
        <v>3</v>
      </c>
      <c r="F5">
        <v>0</v>
      </c>
    </row>
    <row r="6" spans="1:6" x14ac:dyDescent="0.3">
      <c r="A6" s="1" t="s">
        <v>1208</v>
      </c>
      <c r="B6" s="1" t="s">
        <v>236</v>
      </c>
      <c r="C6" s="1" t="s">
        <v>118</v>
      </c>
      <c r="D6">
        <v>1</v>
      </c>
      <c r="E6">
        <v>2</v>
      </c>
      <c r="F6">
        <v>1</v>
      </c>
    </row>
    <row r="7" spans="1:6" x14ac:dyDescent="0.3">
      <c r="A7" s="1" t="s">
        <v>1209</v>
      </c>
      <c r="B7" s="1" t="s">
        <v>17</v>
      </c>
      <c r="C7" s="1" t="s">
        <v>13</v>
      </c>
      <c r="D7">
        <v>29</v>
      </c>
      <c r="E7">
        <v>2</v>
      </c>
      <c r="F7">
        <v>-27</v>
      </c>
    </row>
    <row r="8" spans="1:6" x14ac:dyDescent="0.3">
      <c r="A8" s="1" t="s">
        <v>1210</v>
      </c>
      <c r="B8" s="1" t="s">
        <v>17</v>
      </c>
      <c r="C8" s="1" t="s">
        <v>21</v>
      </c>
      <c r="D8">
        <v>3</v>
      </c>
      <c r="E8">
        <v>0</v>
      </c>
      <c r="F8">
        <v>-3</v>
      </c>
    </row>
    <row r="9" spans="1:6" x14ac:dyDescent="0.3">
      <c r="A9" s="1" t="s">
        <v>1211</v>
      </c>
      <c r="B9" s="1" t="s">
        <v>444</v>
      </c>
      <c r="C9" s="1" t="s">
        <v>27</v>
      </c>
      <c r="D9">
        <v>4</v>
      </c>
      <c r="E9">
        <v>4</v>
      </c>
      <c r="F9">
        <v>0</v>
      </c>
    </row>
    <row r="10" spans="1:6" x14ac:dyDescent="0.3">
      <c r="A10" s="1" t="s">
        <v>1212</v>
      </c>
      <c r="B10" s="1" t="s">
        <v>444</v>
      </c>
      <c r="C10" s="1" t="s">
        <v>190</v>
      </c>
      <c r="D10">
        <v>1</v>
      </c>
      <c r="E10">
        <v>1</v>
      </c>
      <c r="F10">
        <v>0</v>
      </c>
    </row>
    <row r="11" spans="1:6" x14ac:dyDescent="0.3">
      <c r="A11" s="1" t="s">
        <v>1213</v>
      </c>
      <c r="B11" s="1" t="s">
        <v>444</v>
      </c>
      <c r="C11" s="1" t="s">
        <v>520</v>
      </c>
      <c r="D11">
        <v>2</v>
      </c>
      <c r="E11">
        <v>1</v>
      </c>
      <c r="F11">
        <v>-1</v>
      </c>
    </row>
    <row r="12" spans="1:6" x14ac:dyDescent="0.3">
      <c r="A12" s="1" t="s">
        <v>1214</v>
      </c>
      <c r="B12" s="1" t="s">
        <v>444</v>
      </c>
      <c r="C12" s="1" t="s">
        <v>13</v>
      </c>
      <c r="D12">
        <v>23</v>
      </c>
      <c r="E12">
        <v>14</v>
      </c>
      <c r="F12">
        <v>-9</v>
      </c>
    </row>
    <row r="13" spans="1:6" x14ac:dyDescent="0.3">
      <c r="A13" s="1" t="s">
        <v>1215</v>
      </c>
      <c r="B13" s="1" t="s">
        <v>444</v>
      </c>
      <c r="C13" s="1" t="s">
        <v>21</v>
      </c>
      <c r="D13">
        <v>2</v>
      </c>
      <c r="E13">
        <v>1</v>
      </c>
      <c r="F13">
        <v>-1</v>
      </c>
    </row>
    <row r="14" spans="1:6" x14ac:dyDescent="0.3">
      <c r="A14" s="1" t="s">
        <v>1216</v>
      </c>
      <c r="B14" s="1" t="s">
        <v>444</v>
      </c>
      <c r="C14" s="1" t="s">
        <v>118</v>
      </c>
      <c r="D14">
        <v>1</v>
      </c>
      <c r="E14">
        <v>0</v>
      </c>
      <c r="F14">
        <v>-1</v>
      </c>
    </row>
    <row r="15" spans="1:6" x14ac:dyDescent="0.3">
      <c r="A15" s="1" t="s">
        <v>1217</v>
      </c>
      <c r="B15" s="1" t="s">
        <v>318</v>
      </c>
      <c r="C15" s="1" t="s">
        <v>27</v>
      </c>
      <c r="D15">
        <v>19</v>
      </c>
      <c r="E15">
        <v>7</v>
      </c>
      <c r="F15">
        <v>-12</v>
      </c>
    </row>
    <row r="16" spans="1:6" x14ac:dyDescent="0.3">
      <c r="A16" s="1" t="s">
        <v>1218</v>
      </c>
      <c r="B16" s="1" t="s">
        <v>318</v>
      </c>
      <c r="C16" s="1" t="s">
        <v>324</v>
      </c>
      <c r="D16">
        <v>2</v>
      </c>
      <c r="E16">
        <v>1</v>
      </c>
      <c r="F16">
        <v>-1</v>
      </c>
    </row>
    <row r="17" spans="1:6" x14ac:dyDescent="0.3">
      <c r="A17" s="1" t="s">
        <v>1219</v>
      </c>
      <c r="B17" s="1" t="s">
        <v>318</v>
      </c>
      <c r="C17" s="1" t="s">
        <v>13</v>
      </c>
      <c r="D17">
        <v>10</v>
      </c>
      <c r="E17">
        <v>9</v>
      </c>
      <c r="F17">
        <v>-1</v>
      </c>
    </row>
    <row r="18" spans="1:6" x14ac:dyDescent="0.3">
      <c r="A18" s="1" t="s">
        <v>1220</v>
      </c>
      <c r="B18" s="1" t="s">
        <v>318</v>
      </c>
      <c r="C18" s="1" t="s">
        <v>21</v>
      </c>
      <c r="D18">
        <v>2</v>
      </c>
      <c r="E18">
        <v>0</v>
      </c>
      <c r="F18">
        <v>-2</v>
      </c>
    </row>
    <row r="19" spans="1:6" x14ac:dyDescent="0.3">
      <c r="A19" s="1" t="s">
        <v>1221</v>
      </c>
      <c r="B19" s="1" t="s">
        <v>120</v>
      </c>
      <c r="C19" s="1" t="s">
        <v>27</v>
      </c>
      <c r="D19">
        <v>12</v>
      </c>
      <c r="E19">
        <v>15</v>
      </c>
      <c r="F19">
        <v>3</v>
      </c>
    </row>
    <row r="20" spans="1:6" x14ac:dyDescent="0.3">
      <c r="A20" s="1" t="s">
        <v>1222</v>
      </c>
      <c r="B20" s="1" t="s">
        <v>120</v>
      </c>
      <c r="C20" s="1" t="s">
        <v>190</v>
      </c>
      <c r="D20">
        <v>1</v>
      </c>
      <c r="E20">
        <v>1</v>
      </c>
      <c r="F20">
        <v>0</v>
      </c>
    </row>
    <row r="21" spans="1:6" x14ac:dyDescent="0.3">
      <c r="A21" s="1" t="s">
        <v>1223</v>
      </c>
      <c r="B21" s="1" t="s">
        <v>120</v>
      </c>
      <c r="C21" s="1" t="s">
        <v>13</v>
      </c>
      <c r="D21">
        <v>19</v>
      </c>
      <c r="E21">
        <v>4</v>
      </c>
      <c r="F21">
        <v>-15</v>
      </c>
    </row>
    <row r="22" spans="1:6" x14ac:dyDescent="0.3">
      <c r="A22" s="1" t="s">
        <v>1224</v>
      </c>
      <c r="B22" s="1" t="s">
        <v>120</v>
      </c>
      <c r="C22" s="1" t="s">
        <v>21</v>
      </c>
      <c r="D22">
        <v>1</v>
      </c>
      <c r="E22">
        <v>0</v>
      </c>
      <c r="F22">
        <v>-1</v>
      </c>
    </row>
    <row r="23" spans="1:6" x14ac:dyDescent="0.3">
      <c r="A23" s="1" t="s">
        <v>1225</v>
      </c>
      <c r="B23" s="1" t="s">
        <v>120</v>
      </c>
      <c r="C23" s="1" t="s">
        <v>198</v>
      </c>
      <c r="D23">
        <v>2</v>
      </c>
      <c r="E23">
        <v>1</v>
      </c>
      <c r="F23">
        <v>-1</v>
      </c>
    </row>
    <row r="24" spans="1:6" x14ac:dyDescent="0.3">
      <c r="A24" s="1" t="s">
        <v>1226</v>
      </c>
      <c r="B24" s="1" t="s">
        <v>120</v>
      </c>
      <c r="C24" s="1" t="s">
        <v>118</v>
      </c>
      <c r="D24">
        <v>2</v>
      </c>
      <c r="E24">
        <v>0</v>
      </c>
      <c r="F24">
        <v>-2</v>
      </c>
    </row>
    <row r="25" spans="1:6" x14ac:dyDescent="0.3">
      <c r="A25" s="1" t="s">
        <v>1227</v>
      </c>
      <c r="B25" s="1" t="s">
        <v>411</v>
      </c>
      <c r="C25" s="1" t="s">
        <v>27</v>
      </c>
      <c r="D25">
        <v>16</v>
      </c>
      <c r="E25">
        <v>5</v>
      </c>
      <c r="F25">
        <v>-11</v>
      </c>
    </row>
    <row r="26" spans="1:6" x14ac:dyDescent="0.3">
      <c r="A26" s="1" t="s">
        <v>1228</v>
      </c>
      <c r="B26" s="1" t="s">
        <v>411</v>
      </c>
      <c r="C26" s="1" t="s">
        <v>324</v>
      </c>
      <c r="D26">
        <v>2</v>
      </c>
      <c r="E26">
        <v>0</v>
      </c>
      <c r="F26">
        <v>-2</v>
      </c>
    </row>
    <row r="27" spans="1:6" x14ac:dyDescent="0.3">
      <c r="A27" s="1" t="s">
        <v>1229</v>
      </c>
      <c r="B27" s="1" t="s">
        <v>411</v>
      </c>
      <c r="C27" s="1" t="s">
        <v>13</v>
      </c>
      <c r="D27">
        <v>31</v>
      </c>
      <c r="E27">
        <v>22</v>
      </c>
      <c r="F27">
        <v>-9</v>
      </c>
    </row>
    <row r="28" spans="1:6" x14ac:dyDescent="0.3">
      <c r="A28" s="1" t="s">
        <v>1230</v>
      </c>
      <c r="B28" s="1" t="s">
        <v>411</v>
      </c>
      <c r="C28" s="1" t="s">
        <v>21</v>
      </c>
      <c r="D28">
        <v>9</v>
      </c>
      <c r="E28">
        <v>4</v>
      </c>
      <c r="F28">
        <v>-5</v>
      </c>
    </row>
    <row r="29" spans="1:6" x14ac:dyDescent="0.3">
      <c r="A29" s="1" t="s">
        <v>1231</v>
      </c>
      <c r="B29" s="1" t="s">
        <v>236</v>
      </c>
      <c r="C29" s="1" t="s">
        <v>486</v>
      </c>
      <c r="D29">
        <v>0</v>
      </c>
      <c r="E29">
        <v>1</v>
      </c>
      <c r="F29">
        <v>1</v>
      </c>
    </row>
    <row r="30" spans="1:6" x14ac:dyDescent="0.3">
      <c r="A30" s="1" t="s">
        <v>1232</v>
      </c>
      <c r="B30" s="1" t="s">
        <v>236</v>
      </c>
      <c r="C30" s="1" t="s">
        <v>15</v>
      </c>
      <c r="D30">
        <v>0</v>
      </c>
      <c r="E30">
        <v>12</v>
      </c>
      <c r="F30">
        <v>12</v>
      </c>
    </row>
    <row r="31" spans="1:6" x14ac:dyDescent="0.3">
      <c r="A31" s="1" t="s">
        <v>1233</v>
      </c>
      <c r="B31" s="1" t="s">
        <v>17</v>
      </c>
      <c r="C31" s="1" t="s">
        <v>27</v>
      </c>
      <c r="D31">
        <v>0</v>
      </c>
      <c r="E31">
        <v>1</v>
      </c>
      <c r="F31">
        <v>1</v>
      </c>
    </row>
    <row r="32" spans="1:6" x14ac:dyDescent="0.3">
      <c r="A32" s="1" t="s">
        <v>1234</v>
      </c>
      <c r="B32" s="1" t="s">
        <v>17</v>
      </c>
      <c r="C32" s="1" t="s">
        <v>15</v>
      </c>
      <c r="D32">
        <v>0</v>
      </c>
      <c r="E32">
        <v>29</v>
      </c>
      <c r="F32">
        <v>29</v>
      </c>
    </row>
    <row r="33" spans="1:6" x14ac:dyDescent="0.3">
      <c r="A33" s="1" t="s">
        <v>1235</v>
      </c>
      <c r="B33" s="1" t="s">
        <v>444</v>
      </c>
      <c r="C33" s="1" t="s">
        <v>532</v>
      </c>
      <c r="D33">
        <v>0</v>
      </c>
      <c r="E33">
        <v>1</v>
      </c>
      <c r="F33">
        <v>1</v>
      </c>
    </row>
    <row r="34" spans="1:6" x14ac:dyDescent="0.3">
      <c r="A34" s="1" t="s">
        <v>1236</v>
      </c>
      <c r="B34" s="1" t="s">
        <v>444</v>
      </c>
      <c r="C34" s="1" t="s">
        <v>163</v>
      </c>
      <c r="D34">
        <v>0</v>
      </c>
      <c r="E34">
        <v>1</v>
      </c>
      <c r="F34">
        <v>1</v>
      </c>
    </row>
    <row r="35" spans="1:6" x14ac:dyDescent="0.3">
      <c r="A35" s="1" t="s">
        <v>1237</v>
      </c>
      <c r="B35" s="1" t="s">
        <v>444</v>
      </c>
      <c r="C35" s="1" t="s">
        <v>15</v>
      </c>
      <c r="D35">
        <v>0</v>
      </c>
      <c r="E35">
        <v>10</v>
      </c>
      <c r="F35">
        <v>10</v>
      </c>
    </row>
    <row r="36" spans="1:6" x14ac:dyDescent="0.3">
      <c r="A36" s="1" t="s">
        <v>1238</v>
      </c>
      <c r="B36" s="1" t="s">
        <v>318</v>
      </c>
      <c r="C36" s="1" t="s">
        <v>15</v>
      </c>
      <c r="D36">
        <v>0</v>
      </c>
      <c r="E36">
        <v>16</v>
      </c>
      <c r="F36">
        <v>16</v>
      </c>
    </row>
    <row r="37" spans="1:6" x14ac:dyDescent="0.3">
      <c r="A37" s="1" t="s">
        <v>1239</v>
      </c>
      <c r="B37" s="1" t="s">
        <v>120</v>
      </c>
      <c r="C37" s="1" t="s">
        <v>163</v>
      </c>
      <c r="D37">
        <v>0</v>
      </c>
      <c r="E37">
        <v>1</v>
      </c>
      <c r="F37">
        <v>1</v>
      </c>
    </row>
    <row r="38" spans="1:6" x14ac:dyDescent="0.3">
      <c r="A38" s="1" t="s">
        <v>1240</v>
      </c>
      <c r="B38" s="1" t="s">
        <v>120</v>
      </c>
      <c r="C38" s="1" t="s">
        <v>15</v>
      </c>
      <c r="D38">
        <v>0</v>
      </c>
      <c r="E38">
        <v>15</v>
      </c>
      <c r="F38">
        <v>15</v>
      </c>
    </row>
    <row r="39" spans="1:6" x14ac:dyDescent="0.3">
      <c r="A39" s="1" t="s">
        <v>1241</v>
      </c>
      <c r="B39" s="1" t="s">
        <v>411</v>
      </c>
      <c r="C39" s="1" t="s">
        <v>520</v>
      </c>
      <c r="D39">
        <v>0</v>
      </c>
      <c r="E39">
        <v>1</v>
      </c>
      <c r="F39">
        <v>1</v>
      </c>
    </row>
    <row r="40" spans="1:6" x14ac:dyDescent="0.3">
      <c r="A40" s="1" t="s">
        <v>1242</v>
      </c>
      <c r="B40" s="1" t="s">
        <v>411</v>
      </c>
      <c r="C40" s="1" t="s">
        <v>15</v>
      </c>
      <c r="D40">
        <v>0</v>
      </c>
      <c r="E40">
        <v>26</v>
      </c>
      <c r="F40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3FEB36-9286-427F-9A3B-6FBCAFCA6F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winners 21 &amp; 26</vt:lpstr>
      <vt:lpstr>Master_Seat_Comparison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CY</dc:creator>
  <cp:lastModifiedBy>PAVITHRA CY</cp:lastModifiedBy>
  <dcterms:created xsi:type="dcterms:W3CDTF">2026-05-22T06:15:44Z</dcterms:created>
  <dcterms:modified xsi:type="dcterms:W3CDTF">2026-06-05T08:32:17Z</dcterms:modified>
</cp:coreProperties>
</file>